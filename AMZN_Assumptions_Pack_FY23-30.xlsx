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secloud-my.sharepoint.com/personal/s_sapkota2_lse_ac_uk/Documents/"/>
    </mc:Choice>
  </mc:AlternateContent>
  <xr:revisionPtr revIDLastSave="0" documentId="8_{FFBA8DE0-1CC3-47FE-B451-620642622BC1}" xr6:coauthVersionLast="47" xr6:coauthVersionMax="47" xr10:uidLastSave="{00000000-0000-0000-0000-000000000000}"/>
  <bookViews>
    <workbookView xWindow="-98" yWindow="-98" windowWidth="21795" windowHeight="12975" xr2:uid="{7B3C8342-E041-4583-B7CA-A8F70778864C}"/>
  </bookViews>
  <sheets>
    <sheet name="Assumptions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H31" i="1" s="1"/>
  <c r="I31" i="1" s="1"/>
  <c r="J31" i="1" s="1"/>
  <c r="F31" i="1"/>
  <c r="F30" i="1"/>
  <c r="G30" i="1" s="1"/>
  <c r="H30" i="1" s="1"/>
  <c r="I30" i="1" s="1"/>
  <c r="J30" i="1" s="1"/>
  <c r="I23" i="1"/>
  <c r="J23" i="1" s="1"/>
  <c r="I22" i="1"/>
  <c r="J22" i="1" s="1"/>
  <c r="I21" i="1"/>
  <c r="J21" i="1" s="1"/>
  <c r="I20" i="1"/>
  <c r="J20" i="1" s="1"/>
  <c r="I19" i="1"/>
  <c r="J19" i="1" s="1"/>
  <c r="F28" i="1"/>
  <c r="G28" i="1" s="1"/>
  <c r="H28" i="1" s="1"/>
  <c r="I28" i="1" s="1"/>
  <c r="J28" i="1" s="1"/>
  <c r="F27" i="1"/>
  <c r="G27" i="1" s="1"/>
  <c r="H27" i="1" s="1"/>
  <c r="I27" i="1" s="1"/>
  <c r="J27" i="1" s="1"/>
  <c r="G16" i="1"/>
  <c r="E11" i="1"/>
  <c r="D11" i="1" s="1"/>
  <c r="C11" i="1" s="1"/>
  <c r="E10" i="1"/>
  <c r="F10" i="1" s="1"/>
  <c r="G10" i="1" s="1"/>
  <c r="H10" i="1" s="1"/>
  <c r="I10" i="1" s="1"/>
  <c r="J10" i="1" s="1"/>
  <c r="F15" i="1"/>
  <c r="G15" i="1" s="1"/>
  <c r="H15" i="1" s="1"/>
  <c r="I15" i="1" s="1"/>
  <c r="J15" i="1" s="1"/>
  <c r="H39" i="1"/>
  <c r="I39" i="1" s="1"/>
  <c r="J39" i="1" s="1"/>
  <c r="F35" i="1"/>
  <c r="G35" i="1" s="1"/>
  <c r="H35" i="1" s="1"/>
  <c r="I35" i="1" s="1"/>
  <c r="J35" i="1" s="1"/>
  <c r="B2" i="1"/>
  <c r="D10" i="1" l="1"/>
  <c r="C10" i="1" s="1"/>
  <c r="F11" i="1"/>
  <c r="G11" i="1" s="1"/>
  <c r="H11" i="1" s="1"/>
  <c r="I11" i="1" s="1"/>
  <c r="J11" i="1" s="1"/>
</calcChain>
</file>

<file path=xl/sharedStrings.xml><?xml version="1.0" encoding="utf-8"?>
<sst xmlns="http://schemas.openxmlformats.org/spreadsheetml/2006/main" count="40" uniqueCount="33">
  <si>
    <t>Revenue growth</t>
  </si>
  <si>
    <t>Gross profit margin</t>
  </si>
  <si>
    <t>R&amp;D % of sales</t>
  </si>
  <si>
    <t>SG&amp;A % of sales</t>
  </si>
  <si>
    <t xml:space="preserve">Fiscal year  </t>
  </si>
  <si>
    <t>Fiscal year end date</t>
  </si>
  <si>
    <t>Latest closing share price</t>
  </si>
  <si>
    <t>Latest closing share price date</t>
  </si>
  <si>
    <t>Latest fiscal year end date</t>
  </si>
  <si>
    <t>Shares outstanding (millions)</t>
  </si>
  <si>
    <t>Comments</t>
  </si>
  <si>
    <t>Tax rate</t>
  </si>
  <si>
    <t>Weighted average interest rate on cash</t>
  </si>
  <si>
    <t>Average Share price</t>
  </si>
  <si>
    <t>Share price increase</t>
  </si>
  <si>
    <t>INCOME STATEMENT</t>
  </si>
  <si>
    <t>Other operating expense (income), net</t>
  </si>
  <si>
    <t>Held constant based on FY2023–FY2024 levels. FY2025 treated as an outlier and excluded from trend.</t>
  </si>
  <si>
    <t>Assumed zero in the forecast due to lack of visibility and irregular historical occurrence.</t>
  </si>
  <si>
    <t>Equity-method investment activity, net of tax</t>
  </si>
  <si>
    <t>BALANCE SHEET</t>
  </si>
  <si>
    <t>Long-term lease liabilities</t>
  </si>
  <si>
    <t xml:space="preserve">Long term debt </t>
  </si>
  <si>
    <t>Straight-lined over the forecast period based on recent historical levels.</t>
  </si>
  <si>
    <t>Forecast uses consensus estimates through FY2028 and is straight-lined thereafter.</t>
  </si>
  <si>
    <t>Forecast uses estimates through FY2028 and is straight-lined thereafter.</t>
  </si>
  <si>
    <t>Forecast uses estimates through FY2025 and is straight-lined thereafter.</t>
  </si>
  <si>
    <t>Estimated based on historical trends and available disclosures.</t>
  </si>
  <si>
    <t>Growth rates &amp; margins</t>
  </si>
  <si>
    <t>Treasury stock, at cost</t>
  </si>
  <si>
    <t>Additional paid-in capital</t>
  </si>
  <si>
    <t>INTEREST EXPENSE AND INTEREST INCOME</t>
  </si>
  <si>
    <t>EARNINGS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</si>
</sst>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164" formatCode="0\A;[Red]0\A"/>
    <numFmt numFmtId="165" formatCode="0\P_);\(0\P\)"/>
    <numFmt numFmtId="166" formatCode="m/d/yy;@"/>
    <numFmt numFmtId="167" formatCode="#,##0.000_);\(#,##0.000\)"/>
    <numFmt numFmtId="168" formatCode="0.0%_);\(0.0%\);@_)"/>
    <numFmt numFmtId="169" formatCode="0.00%_);\(0.00%\);@_)"/>
    <numFmt numFmtId="170" formatCode="_(#,##0.00%_);\(#,##0.00%\);_(&quot;–&quot;_)_%;_(@_)_%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left" indent="1"/>
    </xf>
    <xf numFmtId="0" fontId="1" fillId="0" borderId="0" xfId="0" applyFont="1"/>
    <xf numFmtId="0" fontId="2" fillId="0" borderId="2" xfId="0" applyFont="1" applyBorder="1"/>
    <xf numFmtId="166" fontId="2" fillId="0" borderId="3" xfId="0" applyNumberFormat="1" applyFont="1" applyBorder="1"/>
    <xf numFmtId="8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/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0" fillId="0" borderId="4" xfId="0" applyBorder="1"/>
    <xf numFmtId="164" fontId="1" fillId="0" borderId="4" xfId="0" applyNumberFormat="1" applyFont="1" applyBorder="1"/>
    <xf numFmtId="165" fontId="1" fillId="0" borderId="4" xfId="0" applyNumberFormat="1" applyFont="1" applyBorder="1"/>
    <xf numFmtId="168" fontId="3" fillId="0" borderId="0" xfId="0" applyNumberFormat="1" applyFont="1"/>
    <xf numFmtId="168" fontId="4" fillId="0" borderId="0" xfId="0" applyNumberFormat="1" applyFont="1"/>
    <xf numFmtId="0" fontId="5" fillId="0" borderId="0" xfId="0" applyFont="1"/>
    <xf numFmtId="10" fontId="3" fillId="0" borderId="0" xfId="0" applyNumberFormat="1" applyFont="1"/>
    <xf numFmtId="169" fontId="3" fillId="0" borderId="0" xfId="0" applyNumberFormat="1" applyFont="1"/>
    <xf numFmtId="170" fontId="4" fillId="0" borderId="0" xfId="0" applyNumberFormat="1" applyFont="1"/>
    <xf numFmtId="8" fontId="0" fillId="0" borderId="0" xfId="0" applyNumberFormat="1"/>
    <xf numFmtId="9" fontId="0" fillId="0" borderId="0" xfId="0" applyNumberFormat="1"/>
    <xf numFmtId="0" fontId="2" fillId="0" borderId="0" xfId="0" applyFont="1"/>
    <xf numFmtId="166" fontId="2" fillId="0" borderId="0" xfId="0" applyNumberFormat="1" applyFont="1"/>
    <xf numFmtId="37" fontId="3" fillId="0" borderId="0" xfId="0" applyNumberFormat="1" applyFont="1"/>
    <xf numFmtId="37" fontId="4" fillId="0" borderId="0" xfId="0" applyNumberFormat="1" applyFont="1"/>
    <xf numFmtId="37" fontId="2" fillId="0" borderId="0" xfId="0" applyNumberFormat="1" applyFont="1"/>
    <xf numFmtId="37" fontId="0" fillId="0" borderId="0" xfId="0" applyNumberFormat="1"/>
    <xf numFmtId="0" fontId="0" fillId="0" borderId="0" xfId="0" applyAlignment="1">
      <alignment horizontal="left"/>
    </xf>
    <xf numFmtId="0" fontId="1" fillId="0" borderId="3" xfId="0" applyFont="1" applyBorder="1"/>
    <xf numFmtId="37" fontId="2" fillId="0" borderId="3" xfId="0" applyNumberFormat="1" applyFont="1" applyBorder="1"/>
    <xf numFmtId="37" fontId="3" fillId="0" borderId="3" xfId="0" applyNumberFormat="1" applyFont="1" applyBorder="1"/>
    <xf numFmtId="37" fontId="0" fillId="0" borderId="3" xfId="0" applyNumberFormat="1" applyBorder="1"/>
    <xf numFmtId="0" fontId="0" fillId="0" borderId="3" xfId="0" applyBorder="1"/>
    <xf numFmtId="0" fontId="6" fillId="0" borderId="0" xfId="0" applyFont="1"/>
  </cellXfs>
  <cellStyles count="1">
    <cellStyle name="Normal" xfId="0" builtinId="0"/>
  </cellStyles>
  <dxfs count="1"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9390B-F98D-4F25-96B4-836F9C1B938B}">
  <dimension ref="B1:L43"/>
  <sheetViews>
    <sheetView tabSelected="1" zoomScale="80" zoomScaleNormal="80" workbookViewId="0"/>
  </sheetViews>
  <sheetFormatPr defaultRowHeight="14.25" x14ac:dyDescent="0.45"/>
  <cols>
    <col min="1" max="1" width="2.265625" customWidth="1"/>
    <col min="2" max="2" width="48.73046875" bestFit="1" customWidth="1"/>
    <col min="3" max="3" width="12.3984375" customWidth="1"/>
    <col min="4" max="10" width="11.59765625" bestFit="1" customWidth="1"/>
    <col min="11" max="11" width="1.59765625" customWidth="1"/>
    <col min="12" max="12" width="10.73046875" bestFit="1" customWidth="1"/>
  </cols>
  <sheetData>
    <row r="1" spans="2:12" ht="14.65" thickBot="1" x14ac:dyDescent="0.5"/>
    <row r="2" spans="2:12" ht="14.65" thickBot="1" x14ac:dyDescent="0.5">
      <c r="B2" s="1" t="str">
        <f>"Financial Statement Model Assumptions for Amazon"</f>
        <v>Financial Statement Model Assumptions for Amazon</v>
      </c>
      <c r="C2" s="2"/>
      <c r="D2" s="2"/>
      <c r="E2" s="2"/>
      <c r="F2" s="2"/>
      <c r="G2" s="2"/>
      <c r="H2" s="2"/>
      <c r="I2" s="2"/>
      <c r="J2" s="2"/>
    </row>
    <row r="3" spans="2:12" x14ac:dyDescent="0.45">
      <c r="B3" s="4"/>
    </row>
    <row r="4" spans="2:12" x14ac:dyDescent="0.45">
      <c r="B4" t="s">
        <v>6</v>
      </c>
      <c r="C4" s="7">
        <v>210.32</v>
      </c>
    </row>
    <row r="5" spans="2:12" x14ac:dyDescent="0.45">
      <c r="B5" t="s">
        <v>7</v>
      </c>
      <c r="C5" s="8">
        <v>46059</v>
      </c>
    </row>
    <row r="6" spans="2:12" x14ac:dyDescent="0.45">
      <c r="B6" s="9" t="s">
        <v>8</v>
      </c>
      <c r="C6" s="10">
        <v>46022</v>
      </c>
    </row>
    <row r="7" spans="2:12" x14ac:dyDescent="0.45">
      <c r="B7" t="s">
        <v>9</v>
      </c>
      <c r="C7" s="11">
        <v>10734.92087</v>
      </c>
    </row>
    <row r="8" spans="2:12" x14ac:dyDescent="0.45">
      <c r="B8" s="4"/>
    </row>
    <row r="9" spans="2:12" x14ac:dyDescent="0.45">
      <c r="B9" s="4"/>
    </row>
    <row r="10" spans="2:12" x14ac:dyDescent="0.45">
      <c r="B10" s="12" t="s">
        <v>4</v>
      </c>
      <c r="C10" s="13">
        <f>D10-1</f>
        <v>2023</v>
      </c>
      <c r="D10" s="13">
        <f>E10-1</f>
        <v>2024</v>
      </c>
      <c r="E10" s="13">
        <f>YEAR(C6)</f>
        <v>2025</v>
      </c>
      <c r="F10" s="14">
        <f>E10+1</f>
        <v>2026</v>
      </c>
      <c r="G10" s="14">
        <f>F10+1</f>
        <v>2027</v>
      </c>
      <c r="H10" s="14">
        <f>G10+1</f>
        <v>2028</v>
      </c>
      <c r="I10" s="14">
        <f>H10+1</f>
        <v>2029</v>
      </c>
      <c r="J10" s="14">
        <f>I10+1</f>
        <v>2030</v>
      </c>
    </row>
    <row r="11" spans="2:12" x14ac:dyDescent="0.45">
      <c r="B11" s="5" t="s">
        <v>5</v>
      </c>
      <c r="C11" s="6">
        <f>EOMONTH(D11,-12)</f>
        <v>45291</v>
      </c>
      <c r="D11" s="6">
        <f>EOMONTH(E11,-12)</f>
        <v>45657</v>
      </c>
      <c r="E11" s="6">
        <f>C6</f>
        <v>46022</v>
      </c>
      <c r="F11" s="6">
        <f>EOMONTH(E11,12)</f>
        <v>46387</v>
      </c>
      <c r="G11" s="6">
        <f>EOMONTH(F11,12)</f>
        <v>46752</v>
      </c>
      <c r="H11" s="6">
        <f>EOMONTH(G11,12)</f>
        <v>47118</v>
      </c>
      <c r="I11" s="6">
        <f>EOMONTH(H11,12)</f>
        <v>47483</v>
      </c>
      <c r="J11" s="6">
        <f>EOMONTH(I11,12)</f>
        <v>47848</v>
      </c>
    </row>
    <row r="12" spans="2:12" x14ac:dyDescent="0.45">
      <c r="B12" s="23"/>
      <c r="C12" s="24"/>
      <c r="D12" s="24"/>
      <c r="E12" s="24"/>
      <c r="F12" s="24"/>
      <c r="G12" s="24"/>
      <c r="H12" s="24"/>
      <c r="I12" s="24"/>
      <c r="J12" s="24"/>
      <c r="L12" s="35" t="s">
        <v>10</v>
      </c>
    </row>
    <row r="13" spans="2:12" x14ac:dyDescent="0.45">
      <c r="B13" s="30" t="s">
        <v>15</v>
      </c>
      <c r="C13" s="6"/>
      <c r="D13" s="6"/>
      <c r="E13" s="6"/>
      <c r="F13" s="6"/>
      <c r="G13" s="6"/>
      <c r="H13" s="6"/>
      <c r="I13" s="6"/>
      <c r="J13" s="6"/>
    </row>
    <row r="14" spans="2:12" x14ac:dyDescent="0.45">
      <c r="B14" s="23"/>
      <c r="C14" s="24"/>
      <c r="D14" s="24"/>
      <c r="E14" s="24"/>
      <c r="F14" s="24"/>
      <c r="G14" s="24"/>
      <c r="H14" s="24"/>
      <c r="I14" s="24"/>
      <c r="J14" s="24"/>
    </row>
    <row r="15" spans="2:12" x14ac:dyDescent="0.45">
      <c r="B15" t="s">
        <v>16</v>
      </c>
      <c r="C15" s="25">
        <v>-767</v>
      </c>
      <c r="D15" s="25">
        <v>-763</v>
      </c>
      <c r="E15" s="25">
        <v>-4639</v>
      </c>
      <c r="F15" s="26">
        <f>C15</f>
        <v>-767</v>
      </c>
      <c r="G15" s="26">
        <f>F15</f>
        <v>-767</v>
      </c>
      <c r="H15" s="26">
        <f>G15</f>
        <v>-767</v>
      </c>
      <c r="I15" s="26">
        <f>H15</f>
        <v>-767</v>
      </c>
      <c r="J15" s="26">
        <f>I15</f>
        <v>-767</v>
      </c>
      <c r="L15" t="s">
        <v>17</v>
      </c>
    </row>
    <row r="16" spans="2:12" x14ac:dyDescent="0.45">
      <c r="B16" t="s">
        <v>19</v>
      </c>
      <c r="C16" s="25">
        <v>-12</v>
      </c>
      <c r="D16" s="25">
        <v>-101</v>
      </c>
      <c r="E16" s="25">
        <v>-554</v>
      </c>
      <c r="F16" s="27">
        <v>0</v>
      </c>
      <c r="G16" s="27">
        <f>F16</f>
        <v>0</v>
      </c>
      <c r="H16" s="27">
        <v>0</v>
      </c>
      <c r="I16" s="27">
        <v>0</v>
      </c>
      <c r="J16" s="27">
        <v>0</v>
      </c>
      <c r="L16" t="s">
        <v>18</v>
      </c>
    </row>
    <row r="17" spans="2:12" x14ac:dyDescent="0.45">
      <c r="B17" s="23"/>
      <c r="C17" s="27"/>
      <c r="D17" s="27"/>
      <c r="E17" s="27"/>
      <c r="F17" s="27"/>
      <c r="G17" s="27"/>
      <c r="H17" s="27"/>
      <c r="I17" s="27"/>
      <c r="J17" s="27"/>
    </row>
    <row r="18" spans="2:12" x14ac:dyDescent="0.45">
      <c r="B18" s="17" t="s">
        <v>28</v>
      </c>
      <c r="C18" s="28"/>
      <c r="D18" s="28"/>
      <c r="E18" s="28"/>
      <c r="F18" s="28"/>
      <c r="G18" s="28"/>
      <c r="H18" s="28"/>
      <c r="I18" s="28"/>
      <c r="J18" s="28"/>
      <c r="L18" s="17"/>
    </row>
    <row r="19" spans="2:12" x14ac:dyDescent="0.45">
      <c r="B19" s="3" t="s">
        <v>0</v>
      </c>
      <c r="F19" s="15">
        <v>0.1229</v>
      </c>
      <c r="G19" s="15">
        <v>0.1124</v>
      </c>
      <c r="H19" s="15">
        <v>0.12690000000000001</v>
      </c>
      <c r="I19" s="16">
        <f t="shared" ref="I19:J23" si="0">H19</f>
        <v>0.12690000000000001</v>
      </c>
      <c r="J19" s="16">
        <f t="shared" si="0"/>
        <v>0.12690000000000001</v>
      </c>
      <c r="L19" t="s">
        <v>24</v>
      </c>
    </row>
    <row r="20" spans="2:12" x14ac:dyDescent="0.45">
      <c r="B20" s="3" t="s">
        <v>1</v>
      </c>
      <c r="F20" s="15">
        <v>0.35099999999999998</v>
      </c>
      <c r="G20" s="15">
        <v>0.36</v>
      </c>
      <c r="H20" s="15">
        <v>0.37</v>
      </c>
      <c r="I20" s="16">
        <f t="shared" si="0"/>
        <v>0.37</v>
      </c>
      <c r="J20" s="16">
        <f t="shared" si="0"/>
        <v>0.37</v>
      </c>
      <c r="L20" t="s">
        <v>24</v>
      </c>
    </row>
    <row r="21" spans="2:12" x14ac:dyDescent="0.45">
      <c r="B21" s="3" t="s">
        <v>2</v>
      </c>
      <c r="F21" s="15">
        <v>0.15</v>
      </c>
      <c r="G21" s="15">
        <v>0.155</v>
      </c>
      <c r="H21" s="15">
        <v>0.157</v>
      </c>
      <c r="I21" s="16">
        <f t="shared" si="0"/>
        <v>0.157</v>
      </c>
      <c r="J21" s="16">
        <f t="shared" si="0"/>
        <v>0.157</v>
      </c>
      <c r="L21" t="s">
        <v>24</v>
      </c>
    </row>
    <row r="22" spans="2:12" x14ac:dyDescent="0.45">
      <c r="B22" s="3" t="s">
        <v>3</v>
      </c>
      <c r="F22" s="15">
        <v>7.5899999999999995E-2</v>
      </c>
      <c r="G22" s="15">
        <v>7.4700000000000003E-2</v>
      </c>
      <c r="H22" s="15">
        <v>6.6000000000000003E-2</v>
      </c>
      <c r="I22" s="16">
        <f t="shared" si="0"/>
        <v>6.6000000000000003E-2</v>
      </c>
      <c r="J22" s="16">
        <f t="shared" si="0"/>
        <v>6.6000000000000003E-2</v>
      </c>
      <c r="L22" t="s">
        <v>24</v>
      </c>
    </row>
    <row r="23" spans="2:12" x14ac:dyDescent="0.45">
      <c r="B23" s="3" t="s">
        <v>11</v>
      </c>
      <c r="F23" s="15">
        <v>0.18540000000000001</v>
      </c>
      <c r="G23" s="15">
        <v>0.1875</v>
      </c>
      <c r="H23" s="15">
        <v>0.186</v>
      </c>
      <c r="I23" s="16">
        <f t="shared" si="0"/>
        <v>0.186</v>
      </c>
      <c r="J23" s="16">
        <f t="shared" si="0"/>
        <v>0.186</v>
      </c>
      <c r="L23" t="s">
        <v>25</v>
      </c>
    </row>
    <row r="24" spans="2:12" x14ac:dyDescent="0.45">
      <c r="B24" s="23"/>
      <c r="C24" s="27"/>
      <c r="D24" s="27"/>
      <c r="E24" s="27"/>
      <c r="F24" s="27"/>
      <c r="G24" s="27"/>
      <c r="H24" s="27"/>
      <c r="I24" s="27"/>
      <c r="J24" s="27"/>
    </row>
    <row r="25" spans="2:12" x14ac:dyDescent="0.45">
      <c r="B25" s="30" t="s">
        <v>20</v>
      </c>
      <c r="C25" s="31"/>
      <c r="D25" s="31"/>
      <c r="E25" s="31"/>
      <c r="F25" s="31"/>
      <c r="G25" s="31"/>
      <c r="H25" s="31"/>
      <c r="I25" s="31"/>
      <c r="J25" s="31"/>
    </row>
    <row r="26" spans="2:12" x14ac:dyDescent="0.45">
      <c r="B26" s="23"/>
      <c r="C26" s="27"/>
      <c r="D26" s="27"/>
      <c r="E26" s="27"/>
      <c r="F26" s="27"/>
      <c r="G26" s="27"/>
      <c r="H26" s="27"/>
      <c r="I26" s="27"/>
      <c r="J26" s="27"/>
    </row>
    <row r="27" spans="2:12" x14ac:dyDescent="0.45">
      <c r="B27" s="29" t="s">
        <v>21</v>
      </c>
      <c r="C27" s="25"/>
      <c r="D27" s="25">
        <v>78277</v>
      </c>
      <c r="E27" s="25">
        <v>87339</v>
      </c>
      <c r="F27" s="28">
        <f>E27</f>
        <v>87339</v>
      </c>
      <c r="G27" s="28">
        <f>F27</f>
        <v>87339</v>
      </c>
      <c r="H27" s="28">
        <f>G27</f>
        <v>87339</v>
      </c>
      <c r="I27" s="28">
        <f>H27</f>
        <v>87339</v>
      </c>
      <c r="J27" s="28">
        <f>I27</f>
        <v>87339</v>
      </c>
      <c r="L27" t="s">
        <v>23</v>
      </c>
    </row>
    <row r="28" spans="2:12" x14ac:dyDescent="0.45">
      <c r="B28" s="29" t="s">
        <v>22</v>
      </c>
      <c r="C28" s="25"/>
      <c r="D28" s="25">
        <v>52623</v>
      </c>
      <c r="E28" s="25">
        <v>65648</v>
      </c>
      <c r="F28" s="28">
        <f>E28</f>
        <v>65648</v>
      </c>
      <c r="G28" s="28">
        <f t="shared" ref="G28:J28" si="1">F28</f>
        <v>65648</v>
      </c>
      <c r="H28" s="28">
        <f t="shared" si="1"/>
        <v>65648</v>
      </c>
      <c r="I28" s="28">
        <f t="shared" si="1"/>
        <v>65648</v>
      </c>
      <c r="J28" s="28">
        <f t="shared" si="1"/>
        <v>65648</v>
      </c>
      <c r="L28" t="s">
        <v>23</v>
      </c>
    </row>
    <row r="29" spans="2:12" x14ac:dyDescent="0.45">
      <c r="B29" s="29"/>
      <c r="C29" s="25"/>
      <c r="D29" s="25"/>
      <c r="E29" s="25"/>
      <c r="F29" s="28"/>
      <c r="G29" s="28"/>
      <c r="H29" s="28"/>
      <c r="I29" s="28"/>
      <c r="J29" s="28"/>
    </row>
    <row r="30" spans="2:12" x14ac:dyDescent="0.45">
      <c r="B30" s="29" t="s">
        <v>29</v>
      </c>
      <c r="C30" s="25"/>
      <c r="D30" s="25">
        <v>-7837</v>
      </c>
      <c r="E30" s="25">
        <v>-7837</v>
      </c>
      <c r="F30" s="28">
        <f t="shared" ref="F30:J31" si="2">E30</f>
        <v>-7837</v>
      </c>
      <c r="G30" s="28">
        <f t="shared" si="2"/>
        <v>-7837</v>
      </c>
      <c r="H30" s="28">
        <f t="shared" si="2"/>
        <v>-7837</v>
      </c>
      <c r="I30" s="28">
        <f t="shared" si="2"/>
        <v>-7837</v>
      </c>
      <c r="J30" s="28">
        <f t="shared" si="2"/>
        <v>-7837</v>
      </c>
      <c r="L30" t="s">
        <v>23</v>
      </c>
    </row>
    <row r="31" spans="2:12" x14ac:dyDescent="0.45">
      <c r="B31" s="29" t="s">
        <v>30</v>
      </c>
      <c r="C31" s="25"/>
      <c r="D31" s="25">
        <v>120864</v>
      </c>
      <c r="E31" s="25">
        <v>140024</v>
      </c>
      <c r="F31" s="28">
        <f t="shared" si="2"/>
        <v>140024</v>
      </c>
      <c r="G31" s="28">
        <f t="shared" si="2"/>
        <v>140024</v>
      </c>
      <c r="H31" s="28">
        <f t="shared" si="2"/>
        <v>140024</v>
      </c>
      <c r="I31" s="28">
        <f t="shared" si="2"/>
        <v>140024</v>
      </c>
      <c r="J31" s="28">
        <f t="shared" si="2"/>
        <v>140024</v>
      </c>
      <c r="L31" t="s">
        <v>23</v>
      </c>
    </row>
    <row r="32" spans="2:12" x14ac:dyDescent="0.45">
      <c r="B32" s="29"/>
      <c r="C32" s="25"/>
      <c r="D32" s="25"/>
      <c r="E32" s="25"/>
      <c r="F32" s="28"/>
      <c r="G32" s="28"/>
      <c r="H32" s="28"/>
      <c r="I32" s="28"/>
      <c r="J32" s="28"/>
    </row>
    <row r="33" spans="2:12" x14ac:dyDescent="0.45">
      <c r="B33" s="30" t="s">
        <v>31</v>
      </c>
      <c r="C33" s="32"/>
      <c r="D33" s="32"/>
      <c r="E33" s="32"/>
      <c r="F33" s="33"/>
      <c r="G33" s="33"/>
      <c r="H33" s="33"/>
      <c r="I33" s="33"/>
      <c r="J33" s="33"/>
    </row>
    <row r="35" spans="2:12" x14ac:dyDescent="0.45">
      <c r="B35" s="3" t="s">
        <v>12</v>
      </c>
      <c r="C35" s="18">
        <v>0.03</v>
      </c>
      <c r="D35" s="19">
        <v>0.03</v>
      </c>
      <c r="E35" s="19">
        <v>0.03</v>
      </c>
      <c r="F35" s="20">
        <f>E35</f>
        <v>0.03</v>
      </c>
      <c r="G35" s="20">
        <f>F35</f>
        <v>0.03</v>
      </c>
      <c r="H35" s="20">
        <f>G35</f>
        <v>0.03</v>
      </c>
      <c r="I35" s="20">
        <f>H35</f>
        <v>0.03</v>
      </c>
      <c r="J35" s="20">
        <f>I35</f>
        <v>0.03</v>
      </c>
      <c r="L35" t="s">
        <v>26</v>
      </c>
    </row>
    <row r="36" spans="2:12" x14ac:dyDescent="0.45">
      <c r="B36" s="3"/>
      <c r="C36" s="18"/>
      <c r="D36" s="19"/>
      <c r="E36" s="19"/>
      <c r="F36" s="20"/>
      <c r="G36" s="20"/>
      <c r="H36" s="20"/>
      <c r="I36" s="20"/>
      <c r="J36" s="20"/>
    </row>
    <row r="37" spans="2:12" x14ac:dyDescent="0.45">
      <c r="B37" s="30" t="s">
        <v>32</v>
      </c>
      <c r="C37" s="34"/>
      <c r="D37" s="34"/>
      <c r="E37" s="34"/>
      <c r="F37" s="34"/>
      <c r="G37" s="34"/>
      <c r="H37" s="34"/>
      <c r="I37" s="34"/>
      <c r="J37" s="34"/>
    </row>
    <row r="38" spans="2:12" x14ac:dyDescent="0.45">
      <c r="B38" t="s">
        <v>13</v>
      </c>
      <c r="F38" s="21">
        <v>210</v>
      </c>
      <c r="L38" t="s">
        <v>27</v>
      </c>
    </row>
    <row r="39" spans="2:12" x14ac:dyDescent="0.45">
      <c r="B39" t="s">
        <v>14</v>
      </c>
      <c r="G39" s="22">
        <v>0.15</v>
      </c>
      <c r="H39" s="22">
        <f>G39</f>
        <v>0.15</v>
      </c>
      <c r="I39" s="22">
        <f>H39</f>
        <v>0.15</v>
      </c>
      <c r="J39" s="22">
        <f>I39</f>
        <v>0.15</v>
      </c>
      <c r="L39" t="s">
        <v>27</v>
      </c>
    </row>
    <row r="43" spans="2:12" x14ac:dyDescent="0.45">
      <c r="B43" s="4"/>
    </row>
  </sheetData>
  <conditionalFormatting sqref="B22">
    <cfRule type="expression" dxfId="0" priority="1">
      <formula>#REF!=$B22</formula>
    </cfRule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5567eafd-e777-42a5-91bb-9440fd43b893}" enabled="0" method="" siteId="{5567eafd-e777-42a5-91bb-9440fd43b89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Sapkota2,S (pgt)</dc:creator>
  <cp:lastModifiedBy>Sapkota2,S (pgt)</cp:lastModifiedBy>
  <dcterms:created xsi:type="dcterms:W3CDTF">2026-02-08T21:25:25Z</dcterms:created>
  <dcterms:modified xsi:type="dcterms:W3CDTF">2026-02-16T18:56:59Z</dcterms:modified>
</cp:coreProperties>
</file>