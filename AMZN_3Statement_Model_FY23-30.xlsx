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secloud-my.sharepoint.com/personal/s_sapkota2_lse_ac_uk/Documents/"/>
    </mc:Choice>
  </mc:AlternateContent>
  <xr:revisionPtr revIDLastSave="0" documentId="8_{6D2B9263-A5DB-4BFF-B2F8-C6B14D5FAF9B}" xr6:coauthVersionLast="47" xr6:coauthVersionMax="47" xr10:uidLastSave="{00000000-0000-0000-0000-000000000000}"/>
  <bookViews>
    <workbookView xWindow="-98" yWindow="-98" windowWidth="21795" windowHeight="12975" xr2:uid="{8BAA2623-3DED-4805-BF7A-B8321F85ACFE}"/>
  </bookViews>
  <sheets>
    <sheet name="3SFM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1" l="1"/>
  <c r="G23" i="1" s="1"/>
  <c r="H23" i="1" s="1"/>
  <c r="I23" i="1" s="1"/>
  <c r="J23" i="1"/>
  <c r="F27" i="1"/>
  <c r="G27" i="1" s="1"/>
  <c r="H27" i="1" s="1"/>
  <c r="I27" i="1" s="1"/>
  <c r="J27" i="1" s="1"/>
  <c r="I43" i="1"/>
  <c r="F58" i="1"/>
  <c r="G58" i="1" s="1"/>
  <c r="G88" i="1" s="1"/>
  <c r="F59" i="1"/>
  <c r="G59" i="1" s="1"/>
  <c r="G89" i="1" s="1"/>
  <c r="F64" i="1"/>
  <c r="G64" i="1" s="1"/>
  <c r="H64" i="1" s="1"/>
  <c r="I64" i="1" s="1"/>
  <c r="J64" i="1" s="1"/>
  <c r="F65" i="1"/>
  <c r="G65" i="1" s="1"/>
  <c r="H65" i="1" s="1"/>
  <c r="I65" i="1" s="1"/>
  <c r="J65" i="1" s="1"/>
  <c r="F67" i="1"/>
  <c r="G67" i="1" s="1"/>
  <c r="H67" i="1" s="1"/>
  <c r="I67" i="1" s="1"/>
  <c r="J67" i="1" s="1"/>
  <c r="F85" i="1"/>
  <c r="F86" i="1" s="1"/>
  <c r="G85" i="1"/>
  <c r="G86" i="1" s="1"/>
  <c r="H85" i="1"/>
  <c r="H86" i="1" s="1"/>
  <c r="F88" i="1"/>
  <c r="F121" i="1"/>
  <c r="G121" i="1" s="1"/>
  <c r="G91" i="1" s="1"/>
  <c r="F122" i="1"/>
  <c r="F90" i="1" s="1"/>
  <c r="F138" i="1"/>
  <c r="G138" i="1" s="1"/>
  <c r="H138" i="1" s="1"/>
  <c r="I138" i="1" s="1"/>
  <c r="J138" i="1" s="1"/>
  <c r="F157" i="1"/>
  <c r="F39" i="1" s="1"/>
  <c r="G157" i="1"/>
  <c r="G39" i="1" s="1"/>
  <c r="H157" i="1"/>
  <c r="H39" i="1" s="1"/>
  <c r="F158" i="1"/>
  <c r="F40" i="1" s="1"/>
  <c r="G158" i="1"/>
  <c r="G40" i="1" s="1"/>
  <c r="H158" i="1"/>
  <c r="H40" i="1" s="1"/>
  <c r="F159" i="1"/>
  <c r="F41" i="1" s="1"/>
  <c r="G159" i="1"/>
  <c r="G41" i="1" s="1"/>
  <c r="H159" i="1"/>
  <c r="H41" i="1" s="1"/>
  <c r="F160" i="1"/>
  <c r="F42" i="1" s="1"/>
  <c r="G160" i="1"/>
  <c r="G42" i="1" s="1"/>
  <c r="H160" i="1"/>
  <c r="H42" i="1" s="1"/>
  <c r="F163" i="1"/>
  <c r="G163" i="1"/>
  <c r="H163" i="1"/>
  <c r="I164" i="1"/>
  <c r="J164" i="1" s="1"/>
  <c r="F165" i="1"/>
  <c r="G165" i="1"/>
  <c r="H165" i="1"/>
  <c r="F167" i="1"/>
  <c r="G167" i="1"/>
  <c r="H167" i="1"/>
  <c r="I168" i="1"/>
  <c r="J168" i="1" s="1"/>
  <c r="F169" i="1"/>
  <c r="G169" i="1"/>
  <c r="H169" i="1"/>
  <c r="F171" i="1"/>
  <c r="G171" i="1"/>
  <c r="H171" i="1"/>
  <c r="I172" i="1"/>
  <c r="I159" i="1" s="1"/>
  <c r="I41" i="1" s="1"/>
  <c r="F173" i="1"/>
  <c r="G173" i="1"/>
  <c r="H173" i="1"/>
  <c r="F175" i="1"/>
  <c r="G175" i="1"/>
  <c r="H175" i="1"/>
  <c r="I176" i="1"/>
  <c r="I160" i="1" s="1"/>
  <c r="I42" i="1" s="1"/>
  <c r="F177" i="1"/>
  <c r="G177" i="1"/>
  <c r="H177" i="1"/>
  <c r="G192" i="1"/>
  <c r="H192" i="1" s="1"/>
  <c r="I192" i="1" s="1"/>
  <c r="J192" i="1" s="1"/>
  <c r="F195" i="1"/>
  <c r="B181" i="1"/>
  <c r="B180" i="1"/>
  <c r="E160" i="1"/>
  <c r="E159" i="1"/>
  <c r="E158" i="1"/>
  <c r="E157" i="1"/>
  <c r="C155" i="1"/>
  <c r="E139" i="1"/>
  <c r="D139" i="1"/>
  <c r="C139" i="1"/>
  <c r="E133" i="1"/>
  <c r="D133" i="1"/>
  <c r="E130" i="1"/>
  <c r="E135" i="1" s="1"/>
  <c r="D130" i="1"/>
  <c r="D135" i="1" s="1"/>
  <c r="C130" i="1"/>
  <c r="B128" i="1"/>
  <c r="B127" i="1"/>
  <c r="E123" i="1"/>
  <c r="F119" i="1" s="1"/>
  <c r="D123" i="1"/>
  <c r="C123" i="1"/>
  <c r="E110" i="1"/>
  <c r="D110" i="1"/>
  <c r="C110" i="1"/>
  <c r="C108" i="1" s="1"/>
  <c r="C109" i="1" s="1"/>
  <c r="E108" i="1"/>
  <c r="E109" i="1" s="1"/>
  <c r="F109" i="1" s="1"/>
  <c r="D108" i="1"/>
  <c r="D109" i="1" s="1"/>
  <c r="E105" i="1"/>
  <c r="F105" i="1" s="1"/>
  <c r="D105" i="1"/>
  <c r="C105" i="1"/>
  <c r="E103" i="1"/>
  <c r="F100" i="1" s="1"/>
  <c r="D103" i="1"/>
  <c r="B98" i="1"/>
  <c r="B97" i="1"/>
  <c r="B74" i="1"/>
  <c r="B73" i="1"/>
  <c r="E68" i="1"/>
  <c r="D68" i="1"/>
  <c r="E61" i="1"/>
  <c r="D61" i="1"/>
  <c r="E52" i="1"/>
  <c r="E116" i="1" s="1"/>
  <c r="F113" i="1" s="1"/>
  <c r="D52" i="1"/>
  <c r="D116" i="1" s="1"/>
  <c r="E48" i="1"/>
  <c r="E53" i="1" s="1"/>
  <c r="E70" i="1" s="1"/>
  <c r="D48" i="1"/>
  <c r="B47" i="1"/>
  <c r="B46" i="1"/>
  <c r="E41" i="1"/>
  <c r="D41" i="1"/>
  <c r="C41" i="1"/>
  <c r="E39" i="1"/>
  <c r="D39" i="1"/>
  <c r="E22" i="1"/>
  <c r="E42" i="1" s="1"/>
  <c r="D22" i="1"/>
  <c r="D42" i="1" s="1"/>
  <c r="C22" i="1"/>
  <c r="C42" i="1" s="1"/>
  <c r="D20" i="1"/>
  <c r="D24" i="1" s="1"/>
  <c r="D28" i="1" s="1"/>
  <c r="E19" i="1"/>
  <c r="E20" i="1" s="1"/>
  <c r="D19" i="1"/>
  <c r="C19" i="1"/>
  <c r="C20" i="1" s="1"/>
  <c r="C40" i="1" s="1"/>
  <c r="E16" i="1"/>
  <c r="E47" i="1" s="1"/>
  <c r="E15" i="1"/>
  <c r="E97" i="1" s="1"/>
  <c r="B2" i="1"/>
  <c r="F89" i="1" l="1"/>
  <c r="D134" i="1"/>
  <c r="G105" i="1"/>
  <c r="F102" i="1"/>
  <c r="F103" i="1" s="1"/>
  <c r="G100" i="1" s="1"/>
  <c r="F133" i="1"/>
  <c r="F135" i="1" s="1"/>
  <c r="F130" i="1" s="1"/>
  <c r="F26" i="1" s="1"/>
  <c r="F91" i="1"/>
  <c r="F92" i="1" s="1"/>
  <c r="F15" i="1"/>
  <c r="D16" i="1"/>
  <c r="D47" i="1" s="1"/>
  <c r="D40" i="1"/>
  <c r="I158" i="1"/>
  <c r="I40" i="1" s="1"/>
  <c r="E134" i="1"/>
  <c r="F134" i="1" s="1"/>
  <c r="G134" i="1" s="1"/>
  <c r="H134" i="1" s="1"/>
  <c r="I134" i="1" s="1"/>
  <c r="F16" i="1"/>
  <c r="J165" i="1"/>
  <c r="J157" i="1"/>
  <c r="J39" i="1" s="1"/>
  <c r="J163" i="1"/>
  <c r="J158" i="1"/>
  <c r="J40" i="1" s="1"/>
  <c r="J169" i="1"/>
  <c r="J167" i="1"/>
  <c r="F35" i="1"/>
  <c r="F18" i="1"/>
  <c r="F108" i="1" s="1"/>
  <c r="F56" i="1"/>
  <c r="G56" i="1" s="1"/>
  <c r="H56" i="1" s="1"/>
  <c r="F52" i="1"/>
  <c r="F49" i="1"/>
  <c r="F57" i="1"/>
  <c r="G57" i="1" s="1"/>
  <c r="H57" i="1" s="1"/>
  <c r="F60" i="1"/>
  <c r="J134" i="1"/>
  <c r="F190" i="1"/>
  <c r="I175" i="1"/>
  <c r="I171" i="1"/>
  <c r="I167" i="1"/>
  <c r="I163" i="1"/>
  <c r="I157" i="1"/>
  <c r="I39" i="1" s="1"/>
  <c r="I101" i="1" s="1"/>
  <c r="I177" i="1"/>
  <c r="J176" i="1"/>
  <c r="I173" i="1"/>
  <c r="J172" i="1"/>
  <c r="I169" i="1"/>
  <c r="I165" i="1"/>
  <c r="G133" i="1"/>
  <c r="H59" i="1"/>
  <c r="H58" i="1"/>
  <c r="G122" i="1"/>
  <c r="H121" i="1"/>
  <c r="G109" i="1"/>
  <c r="J43" i="1"/>
  <c r="F46" i="1"/>
  <c r="D31" i="1"/>
  <c r="D43" i="1"/>
  <c r="E24" i="1"/>
  <c r="E40" i="1"/>
  <c r="D98" i="1"/>
  <c r="C24" i="1"/>
  <c r="D53" i="1"/>
  <c r="D70" i="1" s="1"/>
  <c r="D181" i="1"/>
  <c r="E181" i="1"/>
  <c r="E98" i="1"/>
  <c r="E128" i="1"/>
  <c r="D34" i="1"/>
  <c r="D36" i="1" s="1"/>
  <c r="E127" i="1"/>
  <c r="D15" i="1"/>
  <c r="E46" i="1"/>
  <c r="E180" i="1"/>
  <c r="G16" i="1" l="1"/>
  <c r="F128" i="1"/>
  <c r="F98" i="1"/>
  <c r="F156" i="1"/>
  <c r="F47" i="1"/>
  <c r="F74" i="1"/>
  <c r="F181" i="1"/>
  <c r="D128" i="1"/>
  <c r="F51" i="1"/>
  <c r="G15" i="1"/>
  <c r="F180" i="1"/>
  <c r="F73" i="1"/>
  <c r="F97" i="1"/>
  <c r="F155" i="1"/>
  <c r="F127" i="1"/>
  <c r="C16" i="1"/>
  <c r="G135" i="1"/>
  <c r="G130" i="1" s="1"/>
  <c r="G26" i="1" s="1"/>
  <c r="G102" i="1"/>
  <c r="G103" i="1" s="1"/>
  <c r="H105" i="1"/>
  <c r="F21" i="1"/>
  <c r="I56" i="1"/>
  <c r="J56" i="1" s="1"/>
  <c r="G52" i="1"/>
  <c r="F116" i="1"/>
  <c r="G90" i="1"/>
  <c r="G92" i="1" s="1"/>
  <c r="H122" i="1"/>
  <c r="G190" i="1"/>
  <c r="G49" i="1"/>
  <c r="F63" i="1"/>
  <c r="G35" i="1"/>
  <c r="F78" i="1"/>
  <c r="F191" i="1"/>
  <c r="F196" i="1" s="1"/>
  <c r="F197" i="1" s="1"/>
  <c r="H88" i="1"/>
  <c r="I58" i="1"/>
  <c r="J160" i="1"/>
  <c r="J42" i="1" s="1"/>
  <c r="J177" i="1"/>
  <c r="J175" i="1"/>
  <c r="H109" i="1"/>
  <c r="I59" i="1"/>
  <c r="H133" i="1"/>
  <c r="H89" i="1"/>
  <c r="F114" i="1"/>
  <c r="F110" i="1"/>
  <c r="F33" i="1" s="1"/>
  <c r="F77" i="1" s="1"/>
  <c r="F82" i="1"/>
  <c r="G60" i="1"/>
  <c r="H91" i="1"/>
  <c r="I121" i="1"/>
  <c r="J159" i="1"/>
  <c r="J41" i="1" s="1"/>
  <c r="J173" i="1"/>
  <c r="J171" i="1"/>
  <c r="I85" i="1"/>
  <c r="I86" i="1" s="1"/>
  <c r="J101" i="1"/>
  <c r="J85" i="1" s="1"/>
  <c r="J86" i="1" s="1"/>
  <c r="I57" i="1"/>
  <c r="J57" i="1" s="1"/>
  <c r="F20" i="1"/>
  <c r="F22" i="1"/>
  <c r="G18" i="1"/>
  <c r="G108" i="1" s="1"/>
  <c r="C34" i="1"/>
  <c r="C36" i="1" s="1"/>
  <c r="C28" i="1"/>
  <c r="E28" i="1"/>
  <c r="E34" i="1"/>
  <c r="E36" i="1" s="1"/>
  <c r="D200" i="1"/>
  <c r="D120" i="1"/>
  <c r="D183" i="1"/>
  <c r="D180" i="1"/>
  <c r="D127" i="1"/>
  <c r="C15" i="1"/>
  <c r="D46" i="1"/>
  <c r="D97" i="1"/>
  <c r="C181" i="1"/>
  <c r="C128" i="1"/>
  <c r="C98" i="1"/>
  <c r="G51" i="1" l="1"/>
  <c r="H100" i="1"/>
  <c r="H102" i="1"/>
  <c r="I105" i="1"/>
  <c r="G97" i="1"/>
  <c r="G155" i="1"/>
  <c r="G180" i="1"/>
  <c r="G127" i="1"/>
  <c r="H15" i="1"/>
  <c r="G46" i="1"/>
  <c r="G73" i="1"/>
  <c r="G74" i="1"/>
  <c r="H16" i="1"/>
  <c r="G128" i="1"/>
  <c r="G47" i="1"/>
  <c r="G181" i="1"/>
  <c r="G98" i="1"/>
  <c r="G156" i="1"/>
  <c r="G195" i="1"/>
  <c r="F198" i="1"/>
  <c r="G114" i="1"/>
  <c r="G110" i="1"/>
  <c r="G33" i="1" s="1"/>
  <c r="G77" i="1" s="1"/>
  <c r="H49" i="1"/>
  <c r="G113" i="1"/>
  <c r="F115" i="1"/>
  <c r="F81" i="1" s="1"/>
  <c r="H60" i="1"/>
  <c r="G82" i="1"/>
  <c r="I109" i="1"/>
  <c r="G78" i="1"/>
  <c r="G191" i="1"/>
  <c r="G196" i="1" s="1"/>
  <c r="H35" i="1"/>
  <c r="H52" i="1"/>
  <c r="G116" i="1"/>
  <c r="H18" i="1"/>
  <c r="G20" i="1"/>
  <c r="G22" i="1"/>
  <c r="G21" i="1"/>
  <c r="I91" i="1"/>
  <c r="J121" i="1"/>
  <c r="J91" i="1" s="1"/>
  <c r="H135" i="1"/>
  <c r="H130" i="1" s="1"/>
  <c r="H26" i="1" s="1"/>
  <c r="G63" i="1"/>
  <c r="H190" i="1"/>
  <c r="H90" i="1"/>
  <c r="H92" i="1" s="1"/>
  <c r="I122" i="1"/>
  <c r="F184" i="1"/>
  <c r="F24" i="1"/>
  <c r="F19" i="1"/>
  <c r="J59" i="1"/>
  <c r="I89" i="1"/>
  <c r="I133" i="1"/>
  <c r="I135" i="1" s="1"/>
  <c r="I130" i="1" s="1"/>
  <c r="I26" i="1" s="1"/>
  <c r="J58" i="1"/>
  <c r="J88" i="1" s="1"/>
  <c r="I88" i="1"/>
  <c r="C180" i="1"/>
  <c r="C97" i="1"/>
  <c r="C127" i="1"/>
  <c r="C43" i="1"/>
  <c r="C31" i="1"/>
  <c r="D185" i="1"/>
  <c r="D188" i="1"/>
  <c r="E43" i="1"/>
  <c r="E31" i="1"/>
  <c r="I102" i="1" l="1"/>
  <c r="J105" i="1"/>
  <c r="J102" i="1" s="1"/>
  <c r="H103" i="1"/>
  <c r="H181" i="1"/>
  <c r="H74" i="1"/>
  <c r="H156" i="1"/>
  <c r="H128" i="1"/>
  <c r="H98" i="1"/>
  <c r="H47" i="1"/>
  <c r="I16" i="1"/>
  <c r="H46" i="1"/>
  <c r="H155" i="1"/>
  <c r="H127" i="1"/>
  <c r="H97" i="1"/>
  <c r="H73" i="1"/>
  <c r="H180" i="1"/>
  <c r="I15" i="1"/>
  <c r="G197" i="1"/>
  <c r="G198" i="1" s="1"/>
  <c r="I52" i="1"/>
  <c r="H116" i="1"/>
  <c r="J89" i="1"/>
  <c r="J133" i="1"/>
  <c r="G19" i="1"/>
  <c r="G24" i="1"/>
  <c r="I90" i="1"/>
  <c r="I92" i="1" s="1"/>
  <c r="I190" i="1"/>
  <c r="J122" i="1"/>
  <c r="H63" i="1"/>
  <c r="I60" i="1"/>
  <c r="H82" i="1"/>
  <c r="F50" i="1"/>
  <c r="F55" i="1"/>
  <c r="H22" i="1"/>
  <c r="I18" i="1"/>
  <c r="H20" i="1"/>
  <c r="H21" i="1"/>
  <c r="H78" i="1"/>
  <c r="H191" i="1"/>
  <c r="H196" i="1" s="1"/>
  <c r="I35" i="1"/>
  <c r="H108" i="1"/>
  <c r="I49" i="1"/>
  <c r="J135" i="1"/>
  <c r="J130" i="1" s="1"/>
  <c r="J26" i="1" s="1"/>
  <c r="F34" i="1"/>
  <c r="F36" i="1" s="1"/>
  <c r="H113" i="1"/>
  <c r="G115" i="1"/>
  <c r="G81" i="1" s="1"/>
  <c r="J109" i="1"/>
  <c r="F187" i="1"/>
  <c r="G184" i="1"/>
  <c r="E200" i="1"/>
  <c r="E201" i="1" s="1"/>
  <c r="E183" i="1"/>
  <c r="E120" i="1"/>
  <c r="C200" i="1"/>
  <c r="D201" i="1" s="1"/>
  <c r="C183" i="1"/>
  <c r="C120" i="1"/>
  <c r="H51" i="1" l="1"/>
  <c r="I100" i="1"/>
  <c r="I103" i="1" s="1"/>
  <c r="I47" i="1"/>
  <c r="I156" i="1"/>
  <c r="I98" i="1"/>
  <c r="I181" i="1"/>
  <c r="J16" i="1"/>
  <c r="I128" i="1"/>
  <c r="I74" i="1"/>
  <c r="I97" i="1"/>
  <c r="I46" i="1"/>
  <c r="I73" i="1"/>
  <c r="I180" i="1"/>
  <c r="I127" i="1"/>
  <c r="J15" i="1"/>
  <c r="I155" i="1"/>
  <c r="H195" i="1"/>
  <c r="H197" i="1" s="1"/>
  <c r="H198" i="1" s="1"/>
  <c r="H114" i="1"/>
  <c r="H115" i="1" s="1"/>
  <c r="H81" i="1" s="1"/>
  <c r="H110" i="1"/>
  <c r="H33" i="1" s="1"/>
  <c r="H77" i="1" s="1"/>
  <c r="I22" i="1"/>
  <c r="J18" i="1"/>
  <c r="I20" i="1"/>
  <c r="I21" i="1"/>
  <c r="G50" i="1"/>
  <c r="F79" i="1"/>
  <c r="J60" i="1"/>
  <c r="J82" i="1" s="1"/>
  <c r="I82" i="1"/>
  <c r="J35" i="1"/>
  <c r="I191" i="1"/>
  <c r="I196" i="1" s="1"/>
  <c r="I78" i="1"/>
  <c r="I108" i="1"/>
  <c r="J49" i="1"/>
  <c r="I63" i="1"/>
  <c r="G34" i="1"/>
  <c r="G36" i="1" s="1"/>
  <c r="I113" i="1"/>
  <c r="H184" i="1"/>
  <c r="G187" i="1"/>
  <c r="H19" i="1"/>
  <c r="H24" i="1"/>
  <c r="G55" i="1"/>
  <c r="F80" i="1"/>
  <c r="F61" i="1"/>
  <c r="J90" i="1"/>
  <c r="J92" i="1" s="1"/>
  <c r="J190" i="1"/>
  <c r="J52" i="1"/>
  <c r="J116" i="1" s="1"/>
  <c r="I116" i="1"/>
  <c r="E188" i="1"/>
  <c r="E185" i="1"/>
  <c r="C188" i="1"/>
  <c r="C185" i="1"/>
  <c r="I51" i="1" l="1"/>
  <c r="J100" i="1"/>
  <c r="J103" i="1" s="1"/>
  <c r="J51" i="1" s="1"/>
  <c r="J73" i="1"/>
  <c r="J127" i="1"/>
  <c r="J46" i="1"/>
  <c r="J155" i="1"/>
  <c r="J97" i="1"/>
  <c r="J180" i="1"/>
  <c r="J74" i="1"/>
  <c r="J128" i="1"/>
  <c r="J98" i="1"/>
  <c r="J47" i="1"/>
  <c r="J156" i="1"/>
  <c r="J181" i="1"/>
  <c r="I195" i="1"/>
  <c r="I197" i="1" s="1"/>
  <c r="J20" i="1"/>
  <c r="J22" i="1"/>
  <c r="J21" i="1"/>
  <c r="I184" i="1"/>
  <c r="H187" i="1"/>
  <c r="J78" i="1"/>
  <c r="J191" i="1"/>
  <c r="J196" i="1" s="1"/>
  <c r="H50" i="1"/>
  <c r="G79" i="1"/>
  <c r="H34" i="1"/>
  <c r="H36" i="1" s="1"/>
  <c r="I114" i="1"/>
  <c r="I115" i="1" s="1"/>
  <c r="I81" i="1" s="1"/>
  <c r="I110" i="1"/>
  <c r="I33" i="1" s="1"/>
  <c r="I77" i="1" s="1"/>
  <c r="J108" i="1"/>
  <c r="G61" i="1"/>
  <c r="H55" i="1"/>
  <c r="G80" i="1"/>
  <c r="J113" i="1"/>
  <c r="J63" i="1"/>
  <c r="I19" i="1"/>
  <c r="I24" i="1"/>
  <c r="I50" i="1" l="1"/>
  <c r="H79" i="1"/>
  <c r="I34" i="1"/>
  <c r="I36" i="1" s="1"/>
  <c r="H61" i="1"/>
  <c r="H80" i="1"/>
  <c r="I55" i="1"/>
  <c r="J114" i="1"/>
  <c r="J115" i="1" s="1"/>
  <c r="J81" i="1" s="1"/>
  <c r="J110" i="1"/>
  <c r="J33" i="1" s="1"/>
  <c r="J77" i="1" s="1"/>
  <c r="J195" i="1"/>
  <c r="J197" i="1" s="1"/>
  <c r="J198" i="1" s="1"/>
  <c r="I198" i="1"/>
  <c r="J184" i="1"/>
  <c r="I187" i="1"/>
  <c r="J24" i="1"/>
  <c r="J19" i="1"/>
  <c r="J187" i="1" l="1"/>
  <c r="J55" i="1"/>
  <c r="I80" i="1"/>
  <c r="I61" i="1"/>
  <c r="J34" i="1"/>
  <c r="J36" i="1" s="1"/>
  <c r="J50" i="1"/>
  <c r="J79" i="1" s="1"/>
  <c r="I79" i="1"/>
  <c r="J80" i="1" l="1"/>
  <c r="J61" i="1"/>
  <c r="F25" i="1"/>
  <c r="G25" i="1"/>
  <c r="H25" i="1"/>
  <c r="I25" i="1"/>
  <c r="J25" i="1"/>
  <c r="F28" i="1"/>
  <c r="G28" i="1"/>
  <c r="H28" i="1"/>
  <c r="I28" i="1"/>
  <c r="J28" i="1"/>
  <c r="F29" i="1"/>
  <c r="G29" i="1"/>
  <c r="H29" i="1"/>
  <c r="I29" i="1"/>
  <c r="J29" i="1"/>
  <c r="F31" i="1"/>
  <c r="G31" i="1"/>
  <c r="H31" i="1"/>
  <c r="I31" i="1"/>
  <c r="J31" i="1"/>
  <c r="F48" i="1"/>
  <c r="G48" i="1"/>
  <c r="H48" i="1"/>
  <c r="I48" i="1"/>
  <c r="J48" i="1"/>
  <c r="F53" i="1"/>
  <c r="G53" i="1"/>
  <c r="H53" i="1"/>
  <c r="I53" i="1"/>
  <c r="J53" i="1"/>
  <c r="F66" i="1"/>
  <c r="G66" i="1"/>
  <c r="H66" i="1"/>
  <c r="I66" i="1"/>
  <c r="J66" i="1"/>
  <c r="F68" i="1"/>
  <c r="G68" i="1"/>
  <c r="H68" i="1"/>
  <c r="I68" i="1"/>
  <c r="J68" i="1"/>
  <c r="F70" i="1"/>
  <c r="G70" i="1"/>
  <c r="H70" i="1"/>
  <c r="I70" i="1"/>
  <c r="J70" i="1"/>
  <c r="F76" i="1"/>
  <c r="G76" i="1"/>
  <c r="H76" i="1"/>
  <c r="I76" i="1"/>
  <c r="J76" i="1"/>
  <c r="F83" i="1"/>
  <c r="G83" i="1"/>
  <c r="H83" i="1"/>
  <c r="I83" i="1"/>
  <c r="J83" i="1"/>
  <c r="F94" i="1"/>
  <c r="G94" i="1"/>
  <c r="H94" i="1"/>
  <c r="I94" i="1"/>
  <c r="J94" i="1"/>
  <c r="G119" i="1"/>
  <c r="H119" i="1"/>
  <c r="I119" i="1"/>
  <c r="J119" i="1"/>
  <c r="F120" i="1"/>
  <c r="G120" i="1"/>
  <c r="H120" i="1"/>
  <c r="I120" i="1"/>
  <c r="J120" i="1"/>
  <c r="F123" i="1"/>
  <c r="G123" i="1"/>
  <c r="H123" i="1"/>
  <c r="I123" i="1"/>
  <c r="J123" i="1"/>
  <c r="F139" i="1"/>
  <c r="G139" i="1"/>
  <c r="H139" i="1"/>
  <c r="I139" i="1"/>
  <c r="J139" i="1"/>
  <c r="C145" i="1"/>
  <c r="F183" i="1"/>
  <c r="G183" i="1"/>
  <c r="H183" i="1"/>
  <c r="I183" i="1"/>
  <c r="J183" i="1"/>
  <c r="F185" i="1"/>
  <c r="G185" i="1"/>
  <c r="H185" i="1"/>
  <c r="I185" i="1"/>
  <c r="J185" i="1"/>
  <c r="F188" i="1"/>
  <c r="G188" i="1"/>
  <c r="H188" i="1"/>
  <c r="I188" i="1"/>
  <c r="J188" i="1"/>
  <c r="F200" i="1"/>
  <c r="G200" i="1"/>
  <c r="H200" i="1"/>
  <c r="I200" i="1"/>
  <c r="J200" i="1"/>
  <c r="F201" i="1"/>
  <c r="G201" i="1"/>
  <c r="H201" i="1"/>
  <c r="I201" i="1"/>
  <c r="J20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Matan Feldman</author>
    <author>saphal</author>
  </authors>
  <commentList>
    <comment ref="L105" authorId="0" shapeId="0" xr:uid="{0CB2EE60-5F78-4CE8-8A58-E9C2E38D3BAC}">
      <text>
        <r>
          <rPr>
            <sz val="9"/>
            <color indexed="81"/>
            <rFont val="Tahoma"/>
            <family val="2"/>
          </rPr>
          <t>Estimate</t>
        </r>
      </text>
    </comment>
    <comment ref="C138" authorId="1" shapeId="0" xr:uid="{EEC820D0-89F0-41AE-BB83-1436D06EFC67}">
      <text>
        <r>
          <rPr>
            <b/>
            <sz val="9"/>
            <color indexed="81"/>
            <rFont val="Tahoma"/>
            <family val="2"/>
          </rPr>
          <t>saphal:</t>
        </r>
        <r>
          <rPr>
            <sz val="9"/>
            <color indexed="81"/>
            <rFont val="Tahoma"/>
            <family val="2"/>
          </rPr>
          <t xml:space="preserve">
Estimate</t>
        </r>
      </text>
    </comment>
    <comment ref="D138" authorId="1" shapeId="0" xr:uid="{3E05A42D-9527-40D9-8660-AEEFDCBFC0B4}">
      <text>
        <r>
          <rPr>
            <b/>
            <sz val="9"/>
            <color indexed="81"/>
            <rFont val="Tahoma"/>
            <family val="2"/>
          </rPr>
          <t>saphal:</t>
        </r>
        <r>
          <rPr>
            <sz val="9"/>
            <color indexed="81"/>
            <rFont val="Tahoma"/>
            <family val="2"/>
          </rPr>
          <t xml:space="preserve">
Estimate</t>
        </r>
      </text>
    </comment>
    <comment ref="E138" authorId="1" shapeId="0" xr:uid="{83A1A68B-7D84-4693-BB15-D60D44E8B198}">
      <text>
        <r>
          <rPr>
            <b/>
            <sz val="9"/>
            <color indexed="81"/>
            <rFont val="Tahoma"/>
            <family val="2"/>
          </rPr>
          <t>saphal:</t>
        </r>
        <r>
          <rPr>
            <sz val="9"/>
            <color indexed="81"/>
            <rFont val="Tahoma"/>
            <family val="2"/>
          </rPr>
          <t xml:space="preserve">
Estimate
</t>
        </r>
      </text>
    </comment>
    <comment ref="F192" authorId="0" shapeId="0" xr:uid="{791D68CA-8773-4DC6-94FF-5E16EBCF76BA}">
      <text>
        <r>
          <rPr>
            <sz val="9"/>
            <color indexed="81"/>
            <rFont val="Tahoma"/>
            <family val="2"/>
          </rPr>
          <t>Assumption</t>
        </r>
      </text>
    </comment>
    <comment ref="G193" authorId="1" shapeId="0" xr:uid="{95BE75C1-3181-4F9E-95A6-A09116DB50F7}">
      <text>
        <r>
          <rPr>
            <b/>
            <sz val="9"/>
            <color indexed="81"/>
            <rFont val="Tahoma"/>
            <family val="2"/>
          </rPr>
          <t>saphal:</t>
        </r>
        <r>
          <rPr>
            <sz val="9"/>
            <color indexed="81"/>
            <rFont val="Tahoma"/>
            <family val="2"/>
          </rPr>
          <t xml:space="preserve">
Assumption</t>
        </r>
      </text>
    </comment>
    <comment ref="H193" authorId="1" shapeId="0" xr:uid="{54311151-EDEA-4226-A5FE-B9999456768D}">
      <text>
        <r>
          <rPr>
            <b/>
            <sz val="9"/>
            <color indexed="81"/>
            <rFont val="Tahoma"/>
            <family val="2"/>
          </rPr>
          <t>saphal:</t>
        </r>
        <r>
          <rPr>
            <sz val="9"/>
            <color indexed="81"/>
            <rFont val="Tahoma"/>
            <family val="2"/>
          </rPr>
          <t xml:space="preserve">
Assumption</t>
        </r>
      </text>
    </comment>
    <comment ref="I193" authorId="1" shapeId="0" xr:uid="{B069265C-0324-4C10-9443-430B62BBF607}">
      <text>
        <r>
          <rPr>
            <b/>
            <sz val="9"/>
            <color indexed="81"/>
            <rFont val="Tahoma"/>
            <family val="2"/>
          </rPr>
          <t>saphal:</t>
        </r>
        <r>
          <rPr>
            <sz val="9"/>
            <color indexed="81"/>
            <rFont val="Tahoma"/>
            <family val="2"/>
          </rPr>
          <t xml:space="preserve">
Assumption</t>
        </r>
      </text>
    </comment>
    <comment ref="J193" authorId="1" shapeId="0" xr:uid="{4548D42B-1E19-4CE9-BC1D-80CB842E19D5}">
      <text>
        <r>
          <rPr>
            <b/>
            <sz val="9"/>
            <color indexed="81"/>
            <rFont val="Tahoma"/>
            <family val="2"/>
          </rPr>
          <t>saphal:</t>
        </r>
        <r>
          <rPr>
            <sz val="9"/>
            <color indexed="81"/>
            <rFont val="Tahoma"/>
            <family val="2"/>
          </rPr>
          <t xml:space="preserve">
Assumption</t>
        </r>
      </text>
    </comment>
  </commentList>
</comments>
</file>

<file path=xl/sharedStrings.xml><?xml version="1.0" encoding="utf-8"?>
<sst xmlns="http://schemas.openxmlformats.org/spreadsheetml/2006/main" count="162" uniqueCount="127">
  <si>
    <t>Company name</t>
  </si>
  <si>
    <t>Amazon</t>
  </si>
  <si>
    <t>Ticker</t>
  </si>
  <si>
    <t>AMZN</t>
  </si>
  <si>
    <t>Circ break 1=off, 0=on</t>
  </si>
  <si>
    <t>Latest closing share price</t>
  </si>
  <si>
    <t>Latest closing share price date</t>
  </si>
  <si>
    <t>Latest fiscal year end date</t>
  </si>
  <si>
    <t>Shares outstanding (millions)</t>
  </si>
  <si>
    <t>Select an operating scenario:</t>
  </si>
  <si>
    <t>Base case</t>
  </si>
  <si>
    <t>INCOME STATEMENT</t>
  </si>
  <si>
    <t xml:space="preserve">Fiscal year  </t>
  </si>
  <si>
    <t>Fiscal year end date</t>
  </si>
  <si>
    <t>Revenue</t>
  </si>
  <si>
    <t xml:space="preserve">Cost of sales </t>
  </si>
  <si>
    <t>Gross Profit</t>
  </si>
  <si>
    <t>Technology and infrastructure (R&amp;D)</t>
  </si>
  <si>
    <t xml:space="preserve">Selling, general &amp; administrative </t>
  </si>
  <si>
    <t>Other operating expense (income), net</t>
  </si>
  <si>
    <t>Operating income (EBIT)</t>
  </si>
  <si>
    <t>Interest income</t>
  </si>
  <si>
    <t xml:space="preserve">Interest expense </t>
  </si>
  <si>
    <t>Other income (expense), net</t>
  </si>
  <si>
    <t>Pretax profit</t>
  </si>
  <si>
    <t xml:space="preserve">Taxes </t>
  </si>
  <si>
    <t>Equity-method investment activity, net of tax</t>
  </si>
  <si>
    <t>Net income</t>
  </si>
  <si>
    <t>Depreciation &amp; amortization</t>
  </si>
  <si>
    <t>EBITDA</t>
  </si>
  <si>
    <t>Stock based compensation</t>
  </si>
  <si>
    <t>Adjusted EBITDA</t>
  </si>
  <si>
    <t>Growth rates &amp; margins</t>
  </si>
  <si>
    <t>Revenue growth</t>
  </si>
  <si>
    <t>Gross profit margin</t>
  </si>
  <si>
    <t>R&amp;D % of sales</t>
  </si>
  <si>
    <t>SG&amp;A % of sales</t>
  </si>
  <si>
    <t>Tax rate</t>
  </si>
  <si>
    <t>BALANCE SHEET</t>
  </si>
  <si>
    <t>Cash &amp; equivalents and marketable securities</t>
  </si>
  <si>
    <t>Accounts receivable</t>
  </si>
  <si>
    <t>Inventories</t>
  </si>
  <si>
    <t>Property, plant &amp; equipment</t>
  </si>
  <si>
    <t>Other assets</t>
  </si>
  <si>
    <t>Total assets</t>
  </si>
  <si>
    <t>Accounts payable</t>
  </si>
  <si>
    <t>Accured expenses and other</t>
  </si>
  <si>
    <t>Unearned revenue</t>
  </si>
  <si>
    <t>Long-term lease liabilities</t>
  </si>
  <si>
    <t xml:space="preserve">Long term debt </t>
  </si>
  <si>
    <t>Other long-term liabilities</t>
  </si>
  <si>
    <t>Total liabilities</t>
  </si>
  <si>
    <t>Common stock</t>
  </si>
  <si>
    <t>Treasury stock, at cost</t>
  </si>
  <si>
    <t>Additional paid-in capital</t>
  </si>
  <si>
    <t xml:space="preserve">Retained earnings </t>
  </si>
  <si>
    <t>Other comprehensive income (loss)</t>
  </si>
  <si>
    <t>Total equity</t>
  </si>
  <si>
    <t>Balance check</t>
  </si>
  <si>
    <t>CASH FLOW STATEMENT</t>
  </si>
  <si>
    <t>Depreciation and amortization</t>
  </si>
  <si>
    <t>Decreases / (Increases) in working capital assets</t>
  </si>
  <si>
    <t>Increases / (Decreases) in working capital liabilities</t>
  </si>
  <si>
    <t>Cash from operating activities</t>
  </si>
  <si>
    <t>Capital expenditures</t>
  </si>
  <si>
    <t>Cash from investing activities</t>
  </si>
  <si>
    <t>Long term debt</t>
  </si>
  <si>
    <t>Share repurchases</t>
  </si>
  <si>
    <t>Common dividends</t>
  </si>
  <si>
    <t>Cash from financing activities</t>
  </si>
  <si>
    <t>Net change in cash during period</t>
  </si>
  <si>
    <t>PROPERTY, PLANT &amp; EQUIPMENT</t>
  </si>
  <si>
    <t>Forecast</t>
  </si>
  <si>
    <t>Beginning of period</t>
  </si>
  <si>
    <t>Plus: Capital expenditures</t>
  </si>
  <si>
    <t>Less: Depreciation</t>
  </si>
  <si>
    <t>End of period</t>
  </si>
  <si>
    <t>Step</t>
  </si>
  <si>
    <t>D&amp;A related to PP&amp;E as a % of capex</t>
  </si>
  <si>
    <t>IMPUTING TOTAL DEPRECIATION &amp; AMORTIZATION</t>
  </si>
  <si>
    <r>
      <t xml:space="preserve">D&amp;A </t>
    </r>
    <r>
      <rPr>
        <u/>
        <sz val="11"/>
        <color theme="1"/>
        <rFont val="Aptos Narrow"/>
        <family val="2"/>
        <scheme val="minor"/>
      </rPr>
      <t>not</t>
    </r>
    <r>
      <rPr>
        <sz val="11"/>
        <color theme="1"/>
        <rFont val="Aptos Narrow"/>
        <family val="2"/>
        <scheme val="minor"/>
      </rPr>
      <t xml:space="preserve"> related to PP&amp;E</t>
    </r>
  </si>
  <si>
    <t>as % of revenue</t>
  </si>
  <si>
    <t xml:space="preserve">Depreciation &amp; Amortization - Total </t>
  </si>
  <si>
    <t>OTHER ASSETS</t>
  </si>
  <si>
    <t>Less: Amortization of intangible assets</t>
  </si>
  <si>
    <t xml:space="preserve">Plus: Additions </t>
  </si>
  <si>
    <t>RETAINED EARNINGS</t>
  </si>
  <si>
    <t>Plus: Net income</t>
  </si>
  <si>
    <t>Less: Dividends</t>
  </si>
  <si>
    <t>Less: Repurchases</t>
  </si>
  <si>
    <t>INTEREST EXPENSE AND INTEREST INCOME</t>
  </si>
  <si>
    <t>Total interest expense (from I/S)</t>
  </si>
  <si>
    <t>End of period balance (from B/S)</t>
  </si>
  <si>
    <t>Weighted average interest rate</t>
  </si>
  <si>
    <t>Interest rate on cash</t>
  </si>
  <si>
    <t>Weighted average interest rate on cash</t>
  </si>
  <si>
    <t>SENSITIVITY ANALYSIS</t>
  </si>
  <si>
    <t>First forecast year net income  sensitivity</t>
  </si>
  <si>
    <t>Revenue growth rate</t>
  </si>
  <si>
    <t>Gross</t>
  </si>
  <si>
    <t>Profit</t>
  </si>
  <si>
    <t>Margin:</t>
  </si>
  <si>
    <t>SCENARIO ANALYSIS</t>
  </si>
  <si>
    <t>Active case:</t>
  </si>
  <si>
    <t xml:space="preserve">Variance from </t>
  </si>
  <si>
    <t>base case</t>
  </si>
  <si>
    <t>Best case</t>
  </si>
  <si>
    <t>NM</t>
  </si>
  <si>
    <t>Weak case</t>
  </si>
  <si>
    <t>EARNINGS PER SHARE</t>
  </si>
  <si>
    <t xml:space="preserve">Basic shares </t>
  </si>
  <si>
    <t>Basic EPS</t>
  </si>
  <si>
    <t>Diluted Shares</t>
  </si>
  <si>
    <t>Diluted EPS</t>
  </si>
  <si>
    <t>$ amount of shares repurchased</t>
  </si>
  <si>
    <t>$ amount of new shares issued</t>
  </si>
  <si>
    <t>Average share price</t>
  </si>
  <si>
    <t>Share price increase</t>
  </si>
  <si>
    <t>Alternative method for calculating weighted average basic shares</t>
  </si>
  <si>
    <t>Basic Shares - BOP</t>
  </si>
  <si>
    <t>Reference from latest share count &gt;</t>
  </si>
  <si>
    <t>Net change in basic shares</t>
  </si>
  <si>
    <t>Basic shares - EOP</t>
  </si>
  <si>
    <t>Basic shares - average</t>
  </si>
  <si>
    <t>Alternative method for estimating share price growth</t>
  </si>
  <si>
    <t>yoy % growth in net income</t>
  </si>
  <si>
    <t>$ mm except per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</si>
</sst>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5" formatCode="&quot;$&quot;#,##0_);\(&quot;$&quot;#,##0\)"/>
    <numFmt numFmtId="7" formatCode="&quot;$&quot;#,##0.00_);\(&quot;$&quot;#,##0.00\)"/>
    <numFmt numFmtId="8" formatCode="&quot;$&quot;#,##0.00_);[Red]\(&quot;$&quot;#,##0.00\)"/>
    <numFmt numFmtId="164" formatCode="_(#,##0_)_%;\(#,##0\)_%;_(&quot;–&quot;_)_%;_(@_)_%"/>
    <numFmt numFmtId="165" formatCode="m/d/yy;@"/>
    <numFmt numFmtId="166" formatCode="#,##0.000_);\(#,##0.000\)"/>
    <numFmt numFmtId="167" formatCode="0\A;[Red]0\A"/>
    <numFmt numFmtId="168" formatCode="0\P_);\(0\P\)"/>
    <numFmt numFmtId="169" formatCode="0.0%"/>
    <numFmt numFmtId="170" formatCode="0.0%_);\(0.0%\);@_)"/>
    <numFmt numFmtId="171" formatCode="_(#,##0.0%_);\(#,##0.0%\);_(&quot;–&quot;_)_%;_(@_)_%"/>
    <numFmt numFmtId="172" formatCode="0.00%_);\(0.00%\);@_)"/>
    <numFmt numFmtId="173" formatCode="_(#,##0.00%_);\(#,##0.00%\);_(&quot;–&quot;_)_%;_(@_)_%"/>
    <numFmt numFmtId="174" formatCode="0.0%;\(0.0%\)"/>
    <numFmt numFmtId="175" formatCode="0.0%;\ \(0.0%\)"/>
    <numFmt numFmtId="176" formatCode="#,##0_);\(#,##0\);@_)"/>
    <numFmt numFmtId="177" formatCode="0%_);\(0%\);@_)"/>
  </numFmts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FF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0000FF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9"/>
      <color rgb="FF008000"/>
      <name val="Aptos Narrow"/>
      <family val="2"/>
      <scheme val="minor"/>
    </font>
    <font>
      <sz val="8"/>
      <color rgb="FFFF0000"/>
      <name val="Aptos Narrow"/>
      <family val="2"/>
      <scheme val="minor"/>
    </font>
    <font>
      <sz val="11"/>
      <color rgb="FF000000"/>
      <name val="Times New Roman"/>
      <family val="1"/>
    </font>
    <font>
      <b/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CE5CD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C9DAF8"/>
        <bgColor rgb="FF000000"/>
      </patternFill>
    </fill>
  </fills>
  <borders count="19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2" fillId="0" borderId="0" xfId="0" applyNumberFormat="1" applyFont="1" applyAlignment="1">
      <alignment horizontal="left"/>
    </xf>
    <xf numFmtId="0" fontId="0" fillId="0" borderId="2" xfId="0" applyBorder="1"/>
    <xf numFmtId="0" fontId="3" fillId="0" borderId="0" xfId="0" applyFont="1"/>
    <xf numFmtId="0" fontId="4" fillId="0" borderId="0" xfId="0" applyFont="1" applyAlignment="1">
      <alignment horizontal="center"/>
    </xf>
    <xf numFmtId="164" fontId="4" fillId="2" borderId="3" xfId="0" applyNumberFormat="1" applyFont="1" applyFill="1" applyBorder="1" applyAlignment="1">
      <alignment horizontal="center"/>
    </xf>
    <xf numFmtId="8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center"/>
    </xf>
    <xf numFmtId="0" fontId="1" fillId="0" borderId="0" xfId="0" applyFont="1"/>
    <xf numFmtId="0" fontId="1" fillId="0" borderId="4" xfId="0" applyFont="1" applyBorder="1"/>
    <xf numFmtId="0" fontId="0" fillId="0" borderId="4" xfId="0" applyBorder="1"/>
    <xf numFmtId="167" fontId="1" fillId="0" borderId="0" xfId="0" applyNumberFormat="1" applyFont="1"/>
    <xf numFmtId="168" fontId="1" fillId="0" borderId="0" xfId="0" applyNumberFormat="1" applyFont="1"/>
    <xf numFmtId="0" fontId="5" fillId="0" borderId="4" xfId="0" applyFont="1" applyBorder="1"/>
    <xf numFmtId="165" fontId="5" fillId="0" borderId="5" xfId="0" applyNumberFormat="1" applyFont="1" applyBorder="1"/>
    <xf numFmtId="0" fontId="5" fillId="0" borderId="0" xfId="0" applyFont="1"/>
    <xf numFmtId="165" fontId="6" fillId="0" borderId="0" xfId="0" applyNumberFormat="1" applyFont="1"/>
    <xf numFmtId="37" fontId="4" fillId="0" borderId="0" xfId="0" applyNumberFormat="1" applyFont="1"/>
    <xf numFmtId="165" fontId="5" fillId="0" borderId="0" xfId="0" applyNumberFormat="1" applyFont="1"/>
    <xf numFmtId="9" fontId="5" fillId="0" borderId="0" xfId="0" applyNumberFormat="1" applyFont="1"/>
    <xf numFmtId="169" fontId="5" fillId="0" borderId="0" xfId="0" applyNumberFormat="1" applyFont="1"/>
    <xf numFmtId="37" fontId="3" fillId="0" borderId="0" xfId="0" applyNumberFormat="1" applyFont="1"/>
    <xf numFmtId="37" fontId="7" fillId="0" borderId="0" xfId="0" applyNumberFormat="1" applyFont="1"/>
    <xf numFmtId="0" fontId="0" fillId="0" borderId="0" xfId="0" quotePrefix="1"/>
    <xf numFmtId="37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4" fontId="0" fillId="0" borderId="0" xfId="0" applyNumberFormat="1"/>
    <xf numFmtId="0" fontId="8" fillId="0" borderId="0" xfId="0" applyFont="1"/>
    <xf numFmtId="170" fontId="3" fillId="0" borderId="0" xfId="0" applyNumberFormat="1" applyFont="1"/>
    <xf numFmtId="170" fontId="4" fillId="0" borderId="0" xfId="0" applyNumberFormat="1" applyFont="1"/>
    <xf numFmtId="165" fontId="5" fillId="0" borderId="4" xfId="0" applyNumberFormat="1" applyFont="1" applyBorder="1"/>
    <xf numFmtId="14" fontId="5" fillId="0" borderId="0" xfId="0" applyNumberFormat="1" applyFont="1"/>
    <xf numFmtId="167" fontId="7" fillId="0" borderId="0" xfId="0" applyNumberFormat="1" applyFont="1"/>
    <xf numFmtId="168" fontId="7" fillId="0" borderId="0" xfId="0" applyNumberFormat="1" applyFont="1"/>
    <xf numFmtId="165" fontId="2" fillId="0" borderId="4" xfId="0" applyNumberFormat="1" applyFont="1" applyBorder="1"/>
    <xf numFmtId="37" fontId="1" fillId="0" borderId="0" xfId="0" applyNumberFormat="1" applyFont="1"/>
    <xf numFmtId="37" fontId="5" fillId="0" borderId="0" xfId="0" applyNumberFormat="1" applyFont="1"/>
    <xf numFmtId="3" fontId="0" fillId="0" borderId="0" xfId="0" applyNumberFormat="1"/>
    <xf numFmtId="0" fontId="1" fillId="0" borderId="6" xfId="0" applyFont="1" applyBorder="1" applyAlignment="1">
      <alignment horizontal="centerContinuous"/>
    </xf>
    <xf numFmtId="0" fontId="0" fillId="0" borderId="0" xfId="0" quotePrefix="1" applyAlignment="1">
      <alignment horizontal="left" indent="1"/>
    </xf>
    <xf numFmtId="0" fontId="0" fillId="0" borderId="7" xfId="0" quotePrefix="1" applyBorder="1" applyAlignment="1">
      <alignment horizontal="left" indent="1"/>
    </xf>
    <xf numFmtId="37" fontId="4" fillId="0" borderId="7" xfId="0" applyNumberFormat="1" applyFont="1" applyBorder="1"/>
    <xf numFmtId="37" fontId="0" fillId="0" borderId="7" xfId="0" applyNumberFormat="1" applyBorder="1"/>
    <xf numFmtId="0" fontId="1" fillId="0" borderId="0" xfId="0" applyFont="1" applyAlignment="1">
      <alignment horizontal="left" indent="1"/>
    </xf>
    <xf numFmtId="170" fontId="0" fillId="0" borderId="0" xfId="0" applyNumberFormat="1"/>
    <xf numFmtId="171" fontId="4" fillId="3" borderId="0" xfId="0" applyNumberFormat="1" applyFont="1" applyFill="1"/>
    <xf numFmtId="164" fontId="0" fillId="0" borderId="0" xfId="0" applyNumberFormat="1"/>
    <xf numFmtId="0" fontId="1" fillId="0" borderId="4" xfId="0" applyFont="1" applyBorder="1" applyAlignment="1">
      <alignment horizontal="left"/>
    </xf>
    <xf numFmtId="170" fontId="0" fillId="0" borderId="4" xfId="0" applyNumberFormat="1" applyBorder="1"/>
    <xf numFmtId="170" fontId="3" fillId="0" borderId="4" xfId="0" applyNumberFormat="1" applyFont="1" applyBorder="1"/>
    <xf numFmtId="171" fontId="0" fillId="0" borderId="0" xfId="0" applyNumberFormat="1"/>
    <xf numFmtId="37" fontId="1" fillId="0" borderId="4" xfId="0" applyNumberFormat="1" applyFont="1" applyBorder="1"/>
    <xf numFmtId="37" fontId="3" fillId="0" borderId="6" xfId="0" applyNumberFormat="1" applyFont="1" applyBorder="1"/>
    <xf numFmtId="0" fontId="0" fillId="0" borderId="7" xfId="0" applyBorder="1" applyAlignment="1">
      <alignment horizontal="left" indent="1"/>
    </xf>
    <xf numFmtId="0" fontId="0" fillId="0" borderId="7" xfId="0" applyBorder="1"/>
    <xf numFmtId="37" fontId="3" fillId="0" borderId="7" xfId="0" applyNumberFormat="1" applyFont="1" applyBorder="1"/>
    <xf numFmtId="37" fontId="1" fillId="0" borderId="4" xfId="0" applyNumberFormat="1" applyFont="1" applyBorder="1" applyAlignment="1">
      <alignment horizontal="left"/>
    </xf>
    <xf numFmtId="0" fontId="9" fillId="0" borderId="0" xfId="0" applyFont="1" applyAlignment="1">
      <alignment horizontal="center"/>
    </xf>
    <xf numFmtId="37" fontId="10" fillId="0" borderId="0" xfId="0" applyNumberFormat="1" applyFont="1" applyAlignment="1">
      <alignment horizontal="right"/>
    </xf>
    <xf numFmtId="9" fontId="4" fillId="0" borderId="4" xfId="0" applyNumberFormat="1" applyFont="1" applyBorder="1"/>
    <xf numFmtId="3" fontId="11" fillId="0" borderId="0" xfId="0" applyNumberFormat="1" applyFont="1"/>
    <xf numFmtId="37" fontId="0" fillId="0" borderId="6" xfId="0" applyNumberFormat="1" applyBorder="1"/>
    <xf numFmtId="0" fontId="8" fillId="0" borderId="0" xfId="0" applyFont="1" applyAlignment="1">
      <alignment horizontal="left" indent="1"/>
    </xf>
    <xf numFmtId="0" fontId="12" fillId="0" borderId="0" xfId="0" applyFont="1" applyAlignment="1">
      <alignment horizontal="left"/>
    </xf>
    <xf numFmtId="171" fontId="13" fillId="0" borderId="0" xfId="0" applyNumberFormat="1" applyFont="1"/>
    <xf numFmtId="0" fontId="12" fillId="0" borderId="0" xfId="0" applyFont="1" applyAlignment="1">
      <alignment horizontal="left" indent="1"/>
    </xf>
    <xf numFmtId="10" fontId="4" fillId="0" borderId="0" xfId="0" applyNumberFormat="1" applyFont="1"/>
    <xf numFmtId="172" fontId="4" fillId="0" borderId="0" xfId="0" applyNumberFormat="1" applyFont="1"/>
    <xf numFmtId="173" fontId="3" fillId="0" borderId="0" xfId="0" applyNumberFormat="1" applyFont="1"/>
    <xf numFmtId="37" fontId="3" fillId="0" borderId="0" xfId="0" applyNumberFormat="1" applyFont="1" applyAlignment="1">
      <alignment horizontal="left" indent="1"/>
    </xf>
    <xf numFmtId="168" fontId="1" fillId="0" borderId="8" xfId="0" applyNumberFormat="1" applyFont="1" applyBorder="1"/>
    <xf numFmtId="0" fontId="0" fillId="0" borderId="8" xfId="0" applyBorder="1"/>
    <xf numFmtId="0" fontId="1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5" fontId="3" fillId="3" borderId="9" xfId="0" applyNumberFormat="1" applyFont="1" applyFill="1" applyBorder="1"/>
    <xf numFmtId="174" fontId="4" fillId="3" borderId="10" xfId="0" applyNumberFormat="1" applyFont="1" applyFill="1" applyBorder="1"/>
    <xf numFmtId="0" fontId="0" fillId="0" borderId="0" xfId="0" applyAlignment="1">
      <alignment horizontal="right"/>
    </xf>
    <xf numFmtId="175" fontId="4" fillId="3" borderId="11" xfId="0" applyNumberFormat="1" applyFont="1" applyFill="1" applyBorder="1"/>
    <xf numFmtId="176" fontId="0" fillId="3" borderId="0" xfId="0" applyNumberFormat="1" applyFill="1"/>
    <xf numFmtId="0" fontId="1" fillId="0" borderId="0" xfId="0" applyFont="1" applyAlignment="1">
      <alignment horizontal="right"/>
    </xf>
    <xf numFmtId="0" fontId="1" fillId="0" borderId="12" xfId="0" applyFont="1" applyBorder="1"/>
    <xf numFmtId="0" fontId="14" fillId="0" borderId="13" xfId="0" applyFont="1" applyBorder="1" applyAlignment="1">
      <alignment horizontal="center"/>
    </xf>
    <xf numFmtId="0" fontId="0" fillId="0" borderId="14" xfId="0" applyBorder="1"/>
    <xf numFmtId="0" fontId="14" fillId="0" borderId="15" xfId="0" applyFont="1" applyBorder="1" applyAlignment="1">
      <alignment horizontal="center"/>
    </xf>
    <xf numFmtId="170" fontId="0" fillId="3" borderId="16" xfId="0" applyNumberFormat="1" applyFill="1" applyBorder="1" applyAlignment="1">
      <alignment horizontal="center"/>
    </xf>
    <xf numFmtId="170" fontId="0" fillId="3" borderId="0" xfId="0" applyNumberFormat="1" applyFill="1"/>
    <xf numFmtId="171" fontId="2" fillId="0" borderId="0" xfId="0" applyNumberFormat="1" applyFont="1"/>
    <xf numFmtId="0" fontId="0" fillId="0" borderId="16" xfId="0" applyBorder="1"/>
    <xf numFmtId="0" fontId="0" fillId="0" borderId="0" xfId="0" applyAlignment="1">
      <alignment horizontal="left" indent="2"/>
    </xf>
    <xf numFmtId="171" fontId="4" fillId="0" borderId="16" xfId="0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177" fontId="0" fillId="0" borderId="0" xfId="0" applyNumberFormat="1"/>
    <xf numFmtId="171" fontId="4" fillId="0" borderId="17" xfId="0" applyNumberFormat="1" applyFont="1" applyBorder="1" applyAlignment="1">
      <alignment horizontal="center"/>
    </xf>
    <xf numFmtId="37" fontId="0" fillId="3" borderId="0" xfId="0" applyNumberFormat="1" applyFill="1"/>
    <xf numFmtId="37" fontId="4" fillId="3" borderId="0" xfId="0" applyNumberFormat="1" applyFont="1" applyFill="1"/>
    <xf numFmtId="7" fontId="7" fillId="3" borderId="0" xfId="0" applyNumberFormat="1" applyFont="1" applyFill="1"/>
    <xf numFmtId="8" fontId="0" fillId="0" borderId="0" xfId="0" applyNumberFormat="1"/>
    <xf numFmtId="37" fontId="3" fillId="4" borderId="0" xfId="0" applyNumberFormat="1" applyFont="1" applyFill="1"/>
    <xf numFmtId="8" fontId="4" fillId="3" borderId="0" xfId="0" applyNumberFormat="1" applyFont="1" applyFill="1"/>
    <xf numFmtId="8" fontId="0" fillId="3" borderId="0" xfId="0" applyNumberFormat="1" applyFill="1"/>
    <xf numFmtId="9" fontId="4" fillId="0" borderId="0" xfId="0" applyNumberFormat="1" applyFont="1"/>
    <xf numFmtId="0" fontId="1" fillId="0" borderId="8" xfId="0" applyFont="1" applyBorder="1"/>
    <xf numFmtId="37" fontId="1" fillId="3" borderId="18" xfId="0" applyNumberFormat="1" applyFont="1" applyFill="1" applyBorder="1"/>
    <xf numFmtId="37" fontId="1" fillId="3" borderId="0" xfId="0" applyNumberFormat="1" applyFont="1" applyFill="1"/>
    <xf numFmtId="171" fontId="3" fillId="3" borderId="0" xfId="0" applyNumberFormat="1" applyFont="1" applyFill="1"/>
    <xf numFmtId="171" fontId="0" fillId="3" borderId="0" xfId="0" applyNumberFormat="1" applyFill="1"/>
  </cellXfs>
  <cellStyles count="1">
    <cellStyle name="Normal" xfId="0" builtinId="0"/>
  </cellStyles>
  <dxfs count="3">
    <dxf>
      <fill>
        <patternFill>
          <bgColor theme="8"/>
        </patternFill>
      </fill>
      <border>
        <left/>
        <right/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8"/>
        </patternFill>
      </fill>
      <border>
        <left/>
        <right/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8"/>
        </patternFill>
      </fill>
      <border>
        <left/>
        <right/>
        <top style="thin">
          <color rgb="FF9C0006"/>
        </top>
        <bottom style="thin">
          <color rgb="FF9C0006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0B01A-D0E2-401F-B75B-7EF560E59C5D}">
  <dimension ref="B1:S204"/>
  <sheetViews>
    <sheetView tabSelected="1" zoomScale="80" zoomScaleNormal="80" workbookViewId="0"/>
  </sheetViews>
  <sheetFormatPr defaultRowHeight="14.25" x14ac:dyDescent="0.45"/>
  <cols>
    <col min="1" max="1" width="2.59765625" customWidth="1"/>
    <col min="2" max="2" width="60.86328125" bestFit="1" customWidth="1"/>
    <col min="3" max="3" width="13" bestFit="1" customWidth="1"/>
    <col min="4" max="4" width="9.86328125" bestFit="1" customWidth="1"/>
    <col min="5" max="5" width="10.73046875" customWidth="1"/>
    <col min="6" max="6" width="10.59765625" customWidth="1"/>
    <col min="7" max="7" width="10.73046875" customWidth="1"/>
    <col min="8" max="8" width="10.59765625" customWidth="1"/>
    <col min="9" max="9" width="11" customWidth="1"/>
    <col min="10" max="10" width="10.86328125" customWidth="1"/>
    <col min="11" max="11" width="1.3984375" customWidth="1"/>
  </cols>
  <sheetData>
    <row r="1" spans="2:12" ht="14.65" thickBot="1" x14ac:dyDescent="0.5"/>
    <row r="2" spans="2:12" ht="14.65" thickBot="1" x14ac:dyDescent="0.5">
      <c r="B2" s="1" t="str">
        <f>"Financial Statement Model for "&amp;C5</f>
        <v>Financial Statement Model for Amazon</v>
      </c>
      <c r="C2" s="2"/>
      <c r="D2" s="2"/>
      <c r="E2" s="2"/>
      <c r="F2" s="2"/>
      <c r="G2" s="2"/>
      <c r="H2" s="2"/>
      <c r="I2" s="2"/>
      <c r="J2" s="2"/>
    </row>
    <row r="3" spans="2:12" x14ac:dyDescent="0.45">
      <c r="B3" s="3" t="s">
        <v>126</v>
      </c>
      <c r="C3" s="4"/>
      <c r="D3" s="4"/>
      <c r="E3" s="4"/>
      <c r="F3" s="4"/>
      <c r="G3" s="4"/>
    </row>
    <row r="5" spans="2:12" x14ac:dyDescent="0.45">
      <c r="B5" s="5" t="s">
        <v>0</v>
      </c>
      <c r="C5" s="6" t="s">
        <v>1</v>
      </c>
    </row>
    <row r="6" spans="2:12" x14ac:dyDescent="0.45">
      <c r="B6" s="5" t="s">
        <v>2</v>
      </c>
      <c r="C6" s="6" t="s">
        <v>3</v>
      </c>
    </row>
    <row r="7" spans="2:12" x14ac:dyDescent="0.45">
      <c r="B7" t="s">
        <v>4</v>
      </c>
      <c r="C7" s="7">
        <v>1</v>
      </c>
    </row>
    <row r="8" spans="2:12" x14ac:dyDescent="0.45">
      <c r="B8" t="s">
        <v>5</v>
      </c>
      <c r="C8" s="8">
        <v>210.32</v>
      </c>
    </row>
    <row r="9" spans="2:12" x14ac:dyDescent="0.45">
      <c r="B9" t="s">
        <v>6</v>
      </c>
      <c r="C9" s="9">
        <v>46059</v>
      </c>
    </row>
    <row r="10" spans="2:12" x14ac:dyDescent="0.45">
      <c r="B10" s="5" t="s">
        <v>7</v>
      </c>
      <c r="C10" s="10">
        <v>46022</v>
      </c>
    </row>
    <row r="11" spans="2:12" x14ac:dyDescent="0.45">
      <c r="B11" t="s">
        <v>8</v>
      </c>
      <c r="C11" s="11">
        <v>10734.92087</v>
      </c>
    </row>
    <row r="12" spans="2:12" x14ac:dyDescent="0.45">
      <c r="B12" t="s">
        <v>9</v>
      </c>
      <c r="C12" s="7" t="s">
        <v>10</v>
      </c>
    </row>
    <row r="13" spans="2:12" x14ac:dyDescent="0.45">
      <c r="B13" s="12"/>
      <c r="C13" s="12"/>
    </row>
    <row r="14" spans="2:12" x14ac:dyDescent="0.45">
      <c r="B14" s="13" t="s">
        <v>11</v>
      </c>
      <c r="C14" s="14"/>
      <c r="D14" s="14"/>
      <c r="E14" s="14"/>
      <c r="F14" s="14"/>
      <c r="G14" s="14"/>
      <c r="H14" s="14"/>
      <c r="I14" s="14"/>
      <c r="J14" s="14"/>
    </row>
    <row r="15" spans="2:12" x14ac:dyDescent="0.45">
      <c r="B15" t="s">
        <v>12</v>
      </c>
      <c r="C15" s="15">
        <f>D15-1</f>
        <v>2023</v>
      </c>
      <c r="D15" s="15">
        <f>E15-1</f>
        <v>2024</v>
      </c>
      <c r="E15" s="15">
        <f>YEAR(C10)</f>
        <v>2025</v>
      </c>
      <c r="F15" s="16">
        <f>E15+1</f>
        <v>2026</v>
      </c>
      <c r="G15" s="16">
        <f>F15+1</f>
        <v>2027</v>
      </c>
      <c r="H15" s="16">
        <f>G15+1</f>
        <v>2028</v>
      </c>
      <c r="I15" s="16">
        <f>H15+1</f>
        <v>2029</v>
      </c>
      <c r="J15" s="16">
        <f>I15+1</f>
        <v>2030</v>
      </c>
    </row>
    <row r="16" spans="2:12" x14ac:dyDescent="0.45">
      <c r="B16" s="17" t="s">
        <v>13</v>
      </c>
      <c r="C16" s="18">
        <f>EOMONTH(D16,-12)</f>
        <v>45291</v>
      </c>
      <c r="D16" s="18">
        <f>EOMONTH(E16,-12)</f>
        <v>45657</v>
      </c>
      <c r="E16" s="18">
        <f>C10</f>
        <v>46022</v>
      </c>
      <c r="F16" s="18">
        <f>EOMONTH(E16,12)</f>
        <v>46387</v>
      </c>
      <c r="G16" s="18">
        <f>EOMONTH(F16,12)</f>
        <v>46752</v>
      </c>
      <c r="H16" s="18">
        <f>EOMONTH(G16,12)</f>
        <v>47118</v>
      </c>
      <c r="I16" s="18">
        <f>EOMONTH(H16,12)</f>
        <v>47483</v>
      </c>
      <c r="J16" s="18">
        <f>EOMONTH(I16,12)</f>
        <v>47848</v>
      </c>
      <c r="L16" s="12"/>
    </row>
    <row r="17" spans="2:13" x14ac:dyDescent="0.45">
      <c r="B17" s="19"/>
      <c r="C17" s="20"/>
      <c r="D17" s="21"/>
      <c r="E17" s="22"/>
      <c r="F17" s="23"/>
      <c r="G17" s="24"/>
      <c r="H17" s="24"/>
      <c r="I17" s="22"/>
      <c r="J17" s="22"/>
    </row>
    <row r="18" spans="2:13" x14ac:dyDescent="0.45">
      <c r="B18" t="s">
        <v>14</v>
      </c>
      <c r="C18" s="21">
        <v>574785</v>
      </c>
      <c r="D18" s="21">
        <v>637959</v>
      </c>
      <c r="E18" s="21">
        <v>716924</v>
      </c>
      <c r="F18" s="25">
        <f ca="1">E18*(1+F39)</f>
        <v>805033.95960000006</v>
      </c>
      <c r="G18" s="25">
        <f ca="1">F18*(1+G39)</f>
        <v>895519.77665904013</v>
      </c>
      <c r="H18" s="25">
        <f ca="1">G18*(1+H39)</f>
        <v>1009161.2363170723</v>
      </c>
      <c r="I18" s="25">
        <f ca="1">H18*(1+I39)</f>
        <v>1137223.7972057087</v>
      </c>
      <c r="J18" s="25">
        <f ca="1">I18*(1+J39)</f>
        <v>1281537.4970711132</v>
      </c>
    </row>
    <row r="19" spans="2:13" x14ac:dyDescent="0.45">
      <c r="B19" t="s">
        <v>15</v>
      </c>
      <c r="C19" s="21">
        <f>-(304739+90619)</f>
        <v>-395358</v>
      </c>
      <c r="D19" s="21">
        <f>-(326288+98505)</f>
        <v>-424793</v>
      </c>
      <c r="E19" s="21">
        <f>-(356414+109074)</f>
        <v>-465488</v>
      </c>
      <c r="F19" s="25">
        <f ca="1">F20-F18</f>
        <v>-522467.03978040005</v>
      </c>
      <c r="G19" s="25">
        <f ca="1">G20-G18</f>
        <v>-573132.65706178569</v>
      </c>
      <c r="H19" s="25">
        <f ca="1">H20-H18</f>
        <v>-635771.57887975557</v>
      </c>
      <c r="I19" s="25">
        <f ca="1">I20-I18</f>
        <v>-716450.99223959656</v>
      </c>
      <c r="J19" s="25">
        <f ca="1">J20-J18</f>
        <v>-807368.62315480132</v>
      </c>
    </row>
    <row r="20" spans="2:13" x14ac:dyDescent="0.45">
      <c r="B20" s="12" t="s">
        <v>16</v>
      </c>
      <c r="C20" s="26">
        <f>SUM(C18:C19)</f>
        <v>179427</v>
      </c>
      <c r="D20" s="26">
        <f t="shared" ref="D20:E20" si="0">SUM(D18:D19)</f>
        <v>213166</v>
      </c>
      <c r="E20" s="26">
        <f t="shared" si="0"/>
        <v>251436</v>
      </c>
      <c r="F20" s="26">
        <f ca="1">F18*F40</f>
        <v>282566.91981960001</v>
      </c>
      <c r="G20" s="26">
        <f ca="1">G18*G40</f>
        <v>322387.11959725444</v>
      </c>
      <c r="H20" s="26">
        <f ca="1">H18*H40</f>
        <v>373389.65743731672</v>
      </c>
      <c r="I20" s="26">
        <f ca="1">I18*I40</f>
        <v>420772.80496611219</v>
      </c>
      <c r="J20" s="26">
        <f ca="1">J18*J40</f>
        <v>474168.87391631189</v>
      </c>
      <c r="L20" s="27"/>
    </row>
    <row r="21" spans="2:13" x14ac:dyDescent="0.45">
      <c r="B21" t="s">
        <v>17</v>
      </c>
      <c r="C21" s="21">
        <v>-85622</v>
      </c>
      <c r="D21" s="21">
        <v>-88544</v>
      </c>
      <c r="E21" s="21">
        <v>-108521</v>
      </c>
      <c r="F21" s="25">
        <f ca="1">-F41*F18</f>
        <v>-120755.09394000001</v>
      </c>
      <c r="G21" s="25">
        <f ca="1">-G41*G18</f>
        <v>-138805.56538215122</v>
      </c>
      <c r="H21" s="25">
        <f ca="1">-H41*H18</f>
        <v>-158438.31410178036</v>
      </c>
      <c r="I21" s="25">
        <f ca="1">-I41*I18</f>
        <v>-178544.13616129628</v>
      </c>
      <c r="J21" s="25">
        <f ca="1">-J41*J18</f>
        <v>-201201.38704016479</v>
      </c>
      <c r="L21" s="27"/>
    </row>
    <row r="22" spans="2:13" x14ac:dyDescent="0.45">
      <c r="B22" t="s">
        <v>18</v>
      </c>
      <c r="C22" s="21">
        <f>(44370+11816)*-1</f>
        <v>-56186</v>
      </c>
      <c r="D22" s="21">
        <f>(43907+11359)*-1</f>
        <v>-55266</v>
      </c>
      <c r="E22" s="21">
        <f>(47129+11172)*-1</f>
        <v>-58301</v>
      </c>
      <c r="F22" s="25">
        <f ca="1">-F18*F42</f>
        <v>-61102.077533640004</v>
      </c>
      <c r="G22" s="25">
        <f ca="1">-G18*G42</f>
        <v>-66895.327316430295</v>
      </c>
      <c r="H22" s="25">
        <f ca="1">-H18*H42</f>
        <v>-66604.641596926769</v>
      </c>
      <c r="I22" s="25">
        <f ca="1">-I18*I42</f>
        <v>-75056.770615576781</v>
      </c>
      <c r="J22" s="25">
        <f ca="1">-J18*J42</f>
        <v>-84581.47480669347</v>
      </c>
      <c r="L22" s="27"/>
    </row>
    <row r="23" spans="2:13" x14ac:dyDescent="0.45">
      <c r="B23" t="s">
        <v>19</v>
      </c>
      <c r="C23" s="21">
        <v>-767</v>
      </c>
      <c r="D23" s="21">
        <v>-763</v>
      </c>
      <c r="E23" s="21">
        <v>-4639</v>
      </c>
      <c r="F23" s="25">
        <f>$D$23</f>
        <v>-763</v>
      </c>
      <c r="G23" s="25">
        <f>F23</f>
        <v>-763</v>
      </c>
      <c r="H23" s="25">
        <f>G23</f>
        <v>-763</v>
      </c>
      <c r="I23" s="25">
        <f>H23</f>
        <v>-763</v>
      </c>
      <c r="J23" s="25">
        <f>I23</f>
        <v>-763</v>
      </c>
      <c r="L23" s="27"/>
    </row>
    <row r="24" spans="2:13" x14ac:dyDescent="0.45">
      <c r="B24" s="12" t="s">
        <v>20</v>
      </c>
      <c r="C24" s="26">
        <f>SUM(C20:C23)</f>
        <v>36852</v>
      </c>
      <c r="D24" s="26">
        <f t="shared" ref="D24:E24" si="1">SUM(D20:D23)</f>
        <v>68593</v>
      </c>
      <c r="E24" s="26">
        <f t="shared" si="1"/>
        <v>79975</v>
      </c>
      <c r="F24" s="26">
        <f ca="1">F20+F21+F22+F23</f>
        <v>99946.748345960019</v>
      </c>
      <c r="G24" s="26">
        <f t="shared" ref="G24:J24" ca="1" si="2">G20+G21+G22+G23</f>
        <v>115923.22689867292</v>
      </c>
      <c r="H24" s="26">
        <f t="shared" ca="1" si="2"/>
        <v>147583.70173860958</v>
      </c>
      <c r="I24" s="26">
        <f t="shared" ca="1" si="2"/>
        <v>166408.89818923915</v>
      </c>
      <c r="J24" s="26">
        <f t="shared" ca="1" si="2"/>
        <v>187623.01206945363</v>
      </c>
      <c r="L24" s="12"/>
    </row>
    <row r="25" spans="2:13" x14ac:dyDescent="0.45">
      <c r="B25" t="s">
        <v>21</v>
      </c>
      <c r="C25" s="21">
        <v>2949</v>
      </c>
      <c r="D25" s="21">
        <v>4677</v>
      </c>
      <c r="E25" s="21">
        <v>4381</v>
      </c>
      <c r="F25" s="28">
        <f ca="1">F139</f>
        <v>3512.9543743454306</v>
      </c>
      <c r="G25" s="28">
        <f ca="1">G139</f>
        <v>3409.5909032701807</v>
      </c>
      <c r="H25" s="28">
        <f ca="1">H139</f>
        <v>3846.124445326805</v>
      </c>
      <c r="I25" s="28">
        <f ca="1">I139</f>
        <v>4695.1634250564766</v>
      </c>
      <c r="J25" s="28">
        <f ca="1">J139</f>
        <v>5793.1524562460845</v>
      </c>
    </row>
    <row r="26" spans="2:13" x14ac:dyDescent="0.45">
      <c r="B26" t="s">
        <v>22</v>
      </c>
      <c r="C26" s="21">
        <v>-3182</v>
      </c>
      <c r="D26" s="21">
        <v>-2406</v>
      </c>
      <c r="E26" s="21">
        <v>-2274</v>
      </c>
      <c r="F26" s="28">
        <f>-F130</f>
        <v>-2524.4320585773353</v>
      </c>
      <c r="G26" s="28">
        <f>-G130</f>
        <v>-2524.4320585773353</v>
      </c>
      <c r="H26" s="28">
        <f>-H130</f>
        <v>-2524.4320585773353</v>
      </c>
      <c r="I26" s="28">
        <f>-I130</f>
        <v>-2524.4320585773353</v>
      </c>
      <c r="J26" s="28">
        <f>-J130</f>
        <v>-2524.4320585773353</v>
      </c>
    </row>
    <row r="27" spans="2:13" x14ac:dyDescent="0.45">
      <c r="B27" t="s">
        <v>23</v>
      </c>
      <c r="C27" s="21">
        <v>938</v>
      </c>
      <c r="D27" s="21">
        <v>-2250</v>
      </c>
      <c r="E27" s="21">
        <v>15229</v>
      </c>
      <c r="F27" s="28">
        <f>E27</f>
        <v>15229</v>
      </c>
      <c r="G27" s="28">
        <f>F27</f>
        <v>15229</v>
      </c>
      <c r="H27" s="28">
        <f>G27</f>
        <v>15229</v>
      </c>
      <c r="I27" s="28">
        <f>H27</f>
        <v>15229</v>
      </c>
      <c r="J27" s="28">
        <f>I27</f>
        <v>15229</v>
      </c>
    </row>
    <row r="28" spans="2:13" x14ac:dyDescent="0.45">
      <c r="B28" s="12" t="s">
        <v>24</v>
      </c>
      <c r="C28" s="26">
        <f>SUM(C24:C27)</f>
        <v>37557</v>
      </c>
      <c r="D28" s="26">
        <f t="shared" ref="D28:E28" si="3">SUM(D24:D27)</f>
        <v>68614</v>
      </c>
      <c r="E28" s="26">
        <f t="shared" si="3"/>
        <v>97311</v>
      </c>
      <c r="F28" s="26">
        <f ca="1">SUM(F24:F27)</f>
        <v>116164.27066172811</v>
      </c>
      <c r="G28" s="26">
        <f ca="1">SUM(G24:G27)</f>
        <v>132037.38574336574</v>
      </c>
      <c r="H28" s="26">
        <f ca="1">SUM(H24:H27)</f>
        <v>164134.39412535905</v>
      </c>
      <c r="I28" s="26">
        <f ca="1">SUM(I24:I27)</f>
        <v>183808.62955571827</v>
      </c>
      <c r="J28" s="26">
        <f ca="1">SUM(J24:J27)</f>
        <v>206120.73246712238</v>
      </c>
      <c r="L28" s="12"/>
      <c r="M28" s="12"/>
    </row>
    <row r="29" spans="2:13" x14ac:dyDescent="0.45">
      <c r="B29" t="s">
        <v>25</v>
      </c>
      <c r="C29" s="21">
        <v>-7120</v>
      </c>
      <c r="D29" s="21">
        <v>-9265</v>
      </c>
      <c r="E29" s="21">
        <v>-19087</v>
      </c>
      <c r="F29" s="25">
        <f ca="1">-F43*F28</f>
        <v>-21536.855780684393</v>
      </c>
      <c r="G29" s="25">
        <f ca="1">-G43*G28</f>
        <v>-24757.009826881076</v>
      </c>
      <c r="H29" s="25">
        <f ca="1">-H43*H28</f>
        <v>-30528.997307316782</v>
      </c>
      <c r="I29" s="25">
        <f ca="1">-I43*I28</f>
        <v>-34188.405097363597</v>
      </c>
      <c r="J29" s="25">
        <f ca="1">-J43*J28</f>
        <v>-38338.456238884763</v>
      </c>
    </row>
    <row r="30" spans="2:13" x14ac:dyDescent="0.45">
      <c r="B30" t="s">
        <v>26</v>
      </c>
      <c r="C30" s="21">
        <v>-12</v>
      </c>
      <c r="D30" s="21">
        <v>-101</v>
      </c>
      <c r="E30" s="21">
        <v>-554</v>
      </c>
      <c r="F30" s="25"/>
      <c r="G30" s="25"/>
      <c r="H30" s="25"/>
      <c r="I30" s="25"/>
      <c r="J30" s="25"/>
    </row>
    <row r="31" spans="2:13" x14ac:dyDescent="0.45">
      <c r="B31" s="12" t="s">
        <v>27</v>
      </c>
      <c r="C31" s="26">
        <f>SUM(C28:C30)</f>
        <v>30425</v>
      </c>
      <c r="D31" s="26">
        <f t="shared" ref="D31:E31" si="4">SUM(D28:D30)</f>
        <v>59248</v>
      </c>
      <c r="E31" s="26">
        <f t="shared" si="4"/>
        <v>77670</v>
      </c>
      <c r="F31" s="26">
        <f ca="1">SUM(F28:F30)</f>
        <v>94627.414881043718</v>
      </c>
      <c r="G31" s="26">
        <f t="shared" ref="G31:J31" ca="1" si="5">SUM(G28:G30)</f>
        <v>107280.37591648466</v>
      </c>
      <c r="H31" s="26">
        <f t="shared" ca="1" si="5"/>
        <v>133605.39681804227</v>
      </c>
      <c r="I31" s="26">
        <f t="shared" ca="1" si="5"/>
        <v>149620.22445835467</v>
      </c>
      <c r="J31" s="26">
        <f t="shared" ca="1" si="5"/>
        <v>167782.27622823761</v>
      </c>
      <c r="L31" s="12"/>
    </row>
    <row r="32" spans="2:13" x14ac:dyDescent="0.45">
      <c r="B32" s="29"/>
      <c r="C32" s="28"/>
      <c r="D32" s="28"/>
      <c r="E32" s="28"/>
      <c r="F32" s="28"/>
      <c r="G32" s="28"/>
      <c r="H32" s="28"/>
      <c r="I32" s="28"/>
      <c r="J32" s="28"/>
    </row>
    <row r="33" spans="2:19" x14ac:dyDescent="0.45">
      <c r="B33" s="30" t="s">
        <v>28</v>
      </c>
      <c r="C33" s="21">
        <v>48663</v>
      </c>
      <c r="D33" s="21">
        <v>52795</v>
      </c>
      <c r="E33" s="21">
        <v>65756</v>
      </c>
      <c r="F33" s="28">
        <f ca="1">F110</f>
        <v>86989.503613026958</v>
      </c>
      <c r="G33" s="28">
        <f ca="1">G110</f>
        <v>93649.692405740701</v>
      </c>
      <c r="H33" s="28">
        <f ca="1">H110</f>
        <v>107410.04460278916</v>
      </c>
      <c r="I33" s="28">
        <f ca="1">I110</f>
        <v>125444.05654488309</v>
      </c>
      <c r="J33" s="28">
        <f ca="1">J110</f>
        <v>146325.41124951455</v>
      </c>
    </row>
    <row r="34" spans="2:19" x14ac:dyDescent="0.45">
      <c r="B34" s="31" t="s">
        <v>29</v>
      </c>
      <c r="C34" s="26">
        <f t="shared" ref="C34:J34" si="6">C24+C33</f>
        <v>85515</v>
      </c>
      <c r="D34" s="26">
        <f t="shared" si="6"/>
        <v>121388</v>
      </c>
      <c r="E34" s="26">
        <f t="shared" si="6"/>
        <v>145731</v>
      </c>
      <c r="F34" s="26">
        <f t="shared" ca="1" si="6"/>
        <v>186936.25195898698</v>
      </c>
      <c r="G34" s="26">
        <f t="shared" ca="1" si="6"/>
        <v>209572.9193044136</v>
      </c>
      <c r="H34" s="26">
        <f t="shared" ca="1" si="6"/>
        <v>254993.74634139874</v>
      </c>
      <c r="I34" s="26">
        <f t="shared" ca="1" si="6"/>
        <v>291852.95473412226</v>
      </c>
      <c r="J34" s="26">
        <f t="shared" ca="1" si="6"/>
        <v>333948.42331896815</v>
      </c>
      <c r="L34" s="12"/>
    </row>
    <row r="35" spans="2:19" x14ac:dyDescent="0.45">
      <c r="B35" s="30" t="s">
        <v>30</v>
      </c>
      <c r="C35" s="21">
        <v>24023</v>
      </c>
      <c r="D35" s="21">
        <v>22011</v>
      </c>
      <c r="E35" s="21">
        <v>19467</v>
      </c>
      <c r="F35" s="28">
        <f ca="1">E35*(1+F39)</f>
        <v>21859.494299999998</v>
      </c>
      <c r="G35" s="28">
        <f ca="1">F35*(1+G39)</f>
        <v>24316.501459319999</v>
      </c>
      <c r="H35" s="28">
        <f ca="1">G35*(1+H39)</f>
        <v>27402.265494507708</v>
      </c>
      <c r="I35" s="28">
        <f ca="1">H35*(1+I39)</f>
        <v>30879.612985760738</v>
      </c>
      <c r="J35" s="28">
        <f ca="1">I35*(1+J39)</f>
        <v>34798.235873653779</v>
      </c>
    </row>
    <row r="36" spans="2:19" x14ac:dyDescent="0.45">
      <c r="B36" s="31" t="s">
        <v>31</v>
      </c>
      <c r="C36" s="26">
        <f>SUM(C34:C35)</f>
        <v>109538</v>
      </c>
      <c r="D36" s="26">
        <f t="shared" ref="D36:J36" si="7">SUM(D34:D35)</f>
        <v>143399</v>
      </c>
      <c r="E36" s="26">
        <f t="shared" si="7"/>
        <v>165198</v>
      </c>
      <c r="F36" s="26">
        <f t="shared" ca="1" si="7"/>
        <v>208795.74625898697</v>
      </c>
      <c r="G36" s="26">
        <f t="shared" ca="1" si="7"/>
        <v>233889.42076373359</v>
      </c>
      <c r="H36" s="26">
        <f t="shared" ca="1" si="7"/>
        <v>282396.01183590642</v>
      </c>
      <c r="I36" s="26">
        <f t="shared" ca="1" si="7"/>
        <v>322732.56771988299</v>
      </c>
      <c r="J36" s="26">
        <f t="shared" ca="1" si="7"/>
        <v>368746.65919262194</v>
      </c>
      <c r="L36" s="12"/>
    </row>
    <row r="37" spans="2:19" x14ac:dyDescent="0.45">
      <c r="B37" s="29"/>
      <c r="F37" s="32"/>
    </row>
    <row r="38" spans="2:19" x14ac:dyDescent="0.45">
      <c r="B38" s="33" t="s">
        <v>32</v>
      </c>
    </row>
    <row r="39" spans="2:19" x14ac:dyDescent="0.45">
      <c r="B39" s="29" t="s">
        <v>33</v>
      </c>
      <c r="C39" s="34"/>
      <c r="D39" s="34">
        <f>D18/C18-1</f>
        <v>0.1099089224666614</v>
      </c>
      <c r="E39" s="34">
        <f>E18/D18-1</f>
        <v>0.12377754683294695</v>
      </c>
      <c r="F39" s="34">
        <f t="shared" ref="F39:J42" ca="1" si="8">F157</f>
        <v>0.1229</v>
      </c>
      <c r="G39" s="34">
        <f t="shared" ca="1" si="8"/>
        <v>0.1124</v>
      </c>
      <c r="H39" s="34">
        <f t="shared" ca="1" si="8"/>
        <v>0.12690000000000001</v>
      </c>
      <c r="I39" s="34">
        <f t="shared" ca="1" si="8"/>
        <v>0.12690000000000001</v>
      </c>
      <c r="J39" s="34">
        <f t="shared" ca="1" si="8"/>
        <v>0.12690000000000001</v>
      </c>
      <c r="N39" s="35"/>
      <c r="O39" s="35"/>
      <c r="P39" s="35"/>
      <c r="Q39" s="35"/>
      <c r="R39" s="35"/>
      <c r="S39" s="35"/>
    </row>
    <row r="40" spans="2:19" x14ac:dyDescent="0.45">
      <c r="B40" s="29" t="s">
        <v>34</v>
      </c>
      <c r="C40" s="34">
        <f>C20/C18</f>
        <v>0.31216367859286515</v>
      </c>
      <c r="D40" s="34">
        <f>D20/D18</f>
        <v>0.33413746024431035</v>
      </c>
      <c r="E40" s="34">
        <f>E20/E18</f>
        <v>0.35071499907940035</v>
      </c>
      <c r="F40" s="34">
        <f t="shared" ca="1" si="8"/>
        <v>0.35099999999999998</v>
      </c>
      <c r="G40" s="34">
        <f t="shared" ca="1" si="8"/>
        <v>0.36</v>
      </c>
      <c r="H40" s="34">
        <f t="shared" ca="1" si="8"/>
        <v>0.37</v>
      </c>
      <c r="I40" s="34">
        <f t="shared" ca="1" si="8"/>
        <v>0.37</v>
      </c>
      <c r="J40" s="34">
        <f t="shared" ca="1" si="8"/>
        <v>0.37</v>
      </c>
      <c r="N40" s="35"/>
      <c r="O40" s="35"/>
      <c r="P40" s="35"/>
      <c r="Q40" s="35"/>
      <c r="R40" s="35"/>
      <c r="S40" s="35"/>
    </row>
    <row r="41" spans="2:19" x14ac:dyDescent="0.45">
      <c r="B41" s="29" t="s">
        <v>35</v>
      </c>
      <c r="C41" s="34">
        <f>-C21/C18</f>
        <v>0.14896352549214054</v>
      </c>
      <c r="D41" s="34">
        <f>-D21/D18</f>
        <v>0.13879261833440706</v>
      </c>
      <c r="E41" s="34">
        <f>-E21/E18</f>
        <v>0.15137029866485149</v>
      </c>
      <c r="F41" s="34">
        <f t="shared" ca="1" si="8"/>
        <v>0.15</v>
      </c>
      <c r="G41" s="34">
        <f t="shared" ca="1" si="8"/>
        <v>0.155</v>
      </c>
      <c r="H41" s="34">
        <f t="shared" ca="1" si="8"/>
        <v>0.157</v>
      </c>
      <c r="I41" s="34">
        <f t="shared" ca="1" si="8"/>
        <v>0.157</v>
      </c>
      <c r="J41" s="34">
        <f t="shared" ca="1" si="8"/>
        <v>0.157</v>
      </c>
      <c r="N41" s="35"/>
      <c r="O41" s="35"/>
      <c r="P41" s="35"/>
      <c r="Q41" s="35"/>
      <c r="R41" s="35"/>
      <c r="S41" s="35"/>
    </row>
    <row r="42" spans="2:19" x14ac:dyDescent="0.45">
      <c r="B42" s="29" t="s">
        <v>36</v>
      </c>
      <c r="C42" s="34">
        <f>-C22/C18</f>
        <v>9.7751333107161803E-2</v>
      </c>
      <c r="D42" s="34">
        <f>-D22/D18</f>
        <v>8.6629391543970688E-2</v>
      </c>
      <c r="E42" s="34">
        <f>-E22/E18</f>
        <v>8.132103263386356E-2</v>
      </c>
      <c r="F42" s="34">
        <f t="shared" ca="1" si="8"/>
        <v>7.5899999999999995E-2</v>
      </c>
      <c r="G42" s="34">
        <f t="shared" ca="1" si="8"/>
        <v>7.4700000000000003E-2</v>
      </c>
      <c r="H42" s="34">
        <f t="shared" ca="1" si="8"/>
        <v>6.6000000000000003E-2</v>
      </c>
      <c r="I42" s="34">
        <f t="shared" ca="1" si="8"/>
        <v>6.6000000000000003E-2</v>
      </c>
      <c r="J42" s="34">
        <f t="shared" ca="1" si="8"/>
        <v>6.6000000000000003E-2</v>
      </c>
      <c r="N42" s="35"/>
      <c r="O42" s="35"/>
      <c r="P42" s="35"/>
      <c r="Q42" s="35"/>
      <c r="R42" s="35"/>
      <c r="S42" s="35"/>
    </row>
    <row r="43" spans="2:19" x14ac:dyDescent="0.45">
      <c r="B43" s="29" t="s">
        <v>37</v>
      </c>
      <c r="C43" s="34">
        <f>-(C29/C28)</f>
        <v>0.18957850733551668</v>
      </c>
      <c r="D43" s="34">
        <f>-(D29/D28)</f>
        <v>0.13503075174162707</v>
      </c>
      <c r="E43" s="34">
        <f>-(E29/E28)</f>
        <v>0.19614432078593375</v>
      </c>
      <c r="F43" s="35">
        <v>0.18540000000000001</v>
      </c>
      <c r="G43" s="35">
        <v>0.1875</v>
      </c>
      <c r="H43" s="35">
        <v>0.186</v>
      </c>
      <c r="I43" s="34">
        <f>H43</f>
        <v>0.186</v>
      </c>
      <c r="J43" s="34">
        <f>I43</f>
        <v>0.186</v>
      </c>
      <c r="N43" s="35"/>
      <c r="O43" s="35"/>
      <c r="P43" s="35"/>
      <c r="Q43" s="35"/>
      <c r="R43" s="35"/>
      <c r="S43" s="35"/>
    </row>
    <row r="44" spans="2:19" x14ac:dyDescent="0.45">
      <c r="B44" s="29"/>
      <c r="F44" s="32"/>
    </row>
    <row r="45" spans="2:19" x14ac:dyDescent="0.45">
      <c r="B45" s="13" t="s">
        <v>38</v>
      </c>
      <c r="C45" s="36"/>
      <c r="D45" s="36"/>
      <c r="E45" s="36"/>
      <c r="F45" s="14"/>
      <c r="G45" s="14"/>
      <c r="H45" s="14"/>
      <c r="I45" s="14"/>
      <c r="J45" s="14"/>
    </row>
    <row r="46" spans="2:19" x14ac:dyDescent="0.45">
      <c r="B46" s="37" t="str">
        <f>B15</f>
        <v xml:space="preserve">Fiscal year  </v>
      </c>
      <c r="C46" s="38"/>
      <c r="D46" s="38">
        <f t="shared" ref="D46:J47" si="9">D15</f>
        <v>2024</v>
      </c>
      <c r="E46" s="38">
        <f t="shared" si="9"/>
        <v>2025</v>
      </c>
      <c r="F46" s="39">
        <f t="shared" si="9"/>
        <v>2026</v>
      </c>
      <c r="G46" s="39">
        <f t="shared" si="9"/>
        <v>2027</v>
      </c>
      <c r="H46" s="39">
        <f t="shared" si="9"/>
        <v>2028</v>
      </c>
      <c r="I46" s="39">
        <f t="shared" si="9"/>
        <v>2029</v>
      </c>
      <c r="J46" s="39">
        <f t="shared" si="9"/>
        <v>2030</v>
      </c>
    </row>
    <row r="47" spans="2:19" x14ac:dyDescent="0.45">
      <c r="B47" s="14" t="str">
        <f>B16</f>
        <v>Fiscal year end date</v>
      </c>
      <c r="C47" s="40"/>
      <c r="D47" s="40">
        <f t="shared" si="9"/>
        <v>45657</v>
      </c>
      <c r="E47" s="40">
        <f t="shared" si="9"/>
        <v>46022</v>
      </c>
      <c r="F47" s="40">
        <f t="shared" si="9"/>
        <v>46387</v>
      </c>
      <c r="G47" s="40">
        <f t="shared" si="9"/>
        <v>46752</v>
      </c>
      <c r="H47" s="40">
        <f t="shared" si="9"/>
        <v>47118</v>
      </c>
      <c r="I47" s="40">
        <f t="shared" si="9"/>
        <v>47483</v>
      </c>
      <c r="J47" s="40">
        <f t="shared" si="9"/>
        <v>47848</v>
      </c>
    </row>
    <row r="48" spans="2:19" x14ac:dyDescent="0.45">
      <c r="B48" t="s">
        <v>39</v>
      </c>
      <c r="C48" s="21"/>
      <c r="D48" s="21">
        <f>78779+22423</f>
        <v>101202</v>
      </c>
      <c r="E48" s="21">
        <f>86810+36219</f>
        <v>123029</v>
      </c>
      <c r="F48" s="28">
        <f ca="1">F94+E48</f>
        <v>111167.95828969538</v>
      </c>
      <c r="G48" s="28">
        <f ca="1">G94+F48</f>
        <v>116138.10192831667</v>
      </c>
      <c r="H48" s="28">
        <f ca="1">H94+G48</f>
        <v>140270.19442680368</v>
      </c>
      <c r="I48" s="28">
        <f ca="1">I94+H48</f>
        <v>172740.70057696142</v>
      </c>
      <c r="J48" s="28">
        <f ca="1">J94+I48</f>
        <v>213469.46317277758</v>
      </c>
    </row>
    <row r="49" spans="2:10" x14ac:dyDescent="0.45">
      <c r="B49" t="s">
        <v>40</v>
      </c>
      <c r="C49" s="21"/>
      <c r="D49" s="21">
        <v>55451</v>
      </c>
      <c r="E49" s="21">
        <v>67729</v>
      </c>
      <c r="F49" s="28">
        <f ca="1">E49*(1+F39)</f>
        <v>76052.894100000005</v>
      </c>
      <c r="G49" s="28">
        <f ca="1">F49*(1+G39)</f>
        <v>84601.239396840014</v>
      </c>
      <c r="H49" s="28">
        <f ca="1">G49*(1+H39)</f>
        <v>95337.136676299007</v>
      </c>
      <c r="I49" s="28">
        <f ca="1">H49*(1+I39)</f>
        <v>107435.41932052135</v>
      </c>
      <c r="J49" s="28">
        <f ca="1">I49*(1+J39)</f>
        <v>121068.97403229552</v>
      </c>
    </row>
    <row r="50" spans="2:10" x14ac:dyDescent="0.45">
      <c r="B50" t="s">
        <v>41</v>
      </c>
      <c r="C50" s="21"/>
      <c r="D50" s="21">
        <v>34214</v>
      </c>
      <c r="E50" s="21">
        <v>38325</v>
      </c>
      <c r="F50" s="28">
        <f ca="1">E50*F19/E19</f>
        <v>43016.252405183019</v>
      </c>
      <c r="G50" s="28">
        <f ca="1">F50*G19/F19</f>
        <v>47187.702114539876</v>
      </c>
      <c r="H50" s="28">
        <f ca="1">G50*H19/G19</f>
        <v>52344.949301736313</v>
      </c>
      <c r="I50" s="28">
        <f ca="1">H50*I19/H19</f>
        <v>58987.523368126647</v>
      </c>
      <c r="J50" s="28">
        <f ca="1">I50*J19/I19</f>
        <v>66473.040083541913</v>
      </c>
    </row>
    <row r="51" spans="2:10" x14ac:dyDescent="0.45">
      <c r="B51" t="s">
        <v>42</v>
      </c>
      <c r="C51" s="21"/>
      <c r="D51" s="21">
        <v>252665</v>
      </c>
      <c r="E51" s="21">
        <v>357025</v>
      </c>
      <c r="F51" s="28">
        <f>F103</f>
        <v>475008.39878697303</v>
      </c>
      <c r="G51" s="28">
        <f>G103</f>
        <v>589581.5690109923</v>
      </c>
      <c r="H51" s="28">
        <f>H103</f>
        <v>711140.86270567973</v>
      </c>
      <c r="I51" s="28">
        <f ca="1">I103</f>
        <v>843722.35348822293</v>
      </c>
      <c r="J51" s="28">
        <f ca="1">J103</f>
        <v>988165.93152198521</v>
      </c>
    </row>
    <row r="52" spans="2:10" x14ac:dyDescent="0.45">
      <c r="B52" t="s">
        <v>43</v>
      </c>
      <c r="C52" s="21"/>
      <c r="D52" s="21">
        <f>82147+76141+23074</f>
        <v>181362</v>
      </c>
      <c r="E52" s="21">
        <f>122607+86054+23273</f>
        <v>231934</v>
      </c>
      <c r="F52" s="28">
        <f ca="1">E52*(1+F39)</f>
        <v>260438.68859999999</v>
      </c>
      <c r="G52" s="28">
        <f ca="1">F52*(1+G39)</f>
        <v>289711.99719864002</v>
      </c>
      <c r="H52" s="28">
        <f ca="1">G52*(1+H39)</f>
        <v>326476.44964314747</v>
      </c>
      <c r="I52" s="28">
        <f ca="1">H52*(1+I39)</f>
        <v>367906.31110286288</v>
      </c>
      <c r="J52" s="28">
        <f ca="1">I52*(1+J39)</f>
        <v>414593.62198181619</v>
      </c>
    </row>
    <row r="53" spans="2:10" x14ac:dyDescent="0.45">
      <c r="B53" s="31" t="s">
        <v>44</v>
      </c>
      <c r="C53" s="26"/>
      <c r="D53" s="26">
        <f t="shared" ref="D53:J53" si="10">SUM(D48:D52)</f>
        <v>624894</v>
      </c>
      <c r="E53" s="26">
        <f t="shared" si="10"/>
        <v>818042</v>
      </c>
      <c r="F53" s="41">
        <f t="shared" ca="1" si="10"/>
        <v>965684.19218185148</v>
      </c>
      <c r="G53" s="41">
        <f t="shared" ca="1" si="10"/>
        <v>1127220.609649329</v>
      </c>
      <c r="H53" s="41">
        <f t="shared" ca="1" si="10"/>
        <v>1325569.5927536662</v>
      </c>
      <c r="I53" s="41">
        <f t="shared" ca="1" si="10"/>
        <v>1550792.3078566953</v>
      </c>
      <c r="J53" s="41">
        <f t="shared" ca="1" si="10"/>
        <v>1803771.0307924163</v>
      </c>
    </row>
    <row r="54" spans="2:10" x14ac:dyDescent="0.45">
      <c r="B54" s="30"/>
      <c r="C54" s="28"/>
      <c r="D54" s="28"/>
      <c r="E54" s="28"/>
      <c r="F54" s="28"/>
      <c r="G54" s="28"/>
      <c r="H54" s="28"/>
      <c r="I54" s="28"/>
      <c r="J54" s="28"/>
    </row>
    <row r="55" spans="2:10" x14ac:dyDescent="0.45">
      <c r="B55" s="30" t="s">
        <v>45</v>
      </c>
      <c r="C55" s="21"/>
      <c r="D55" s="21">
        <v>94363</v>
      </c>
      <c r="E55" s="21">
        <v>121909</v>
      </c>
      <c r="F55" s="28">
        <f ca="1">E55*F19/E19</f>
        <v>136831.52810080774</v>
      </c>
      <c r="G55" s="28">
        <f ca="1">F55*G19/F19</f>
        <v>150100.60214172059</v>
      </c>
      <c r="H55" s="28">
        <f ca="1">G55*H19/G19</f>
        <v>166505.42529485642</v>
      </c>
      <c r="I55" s="28">
        <f ca="1">H55*I19/H19</f>
        <v>187634.96376477371</v>
      </c>
      <c r="J55" s="28">
        <f ca="1">I55*J19/I19</f>
        <v>211445.84066652349</v>
      </c>
    </row>
    <row r="56" spans="2:10" x14ac:dyDescent="0.45">
      <c r="B56" s="30" t="s">
        <v>46</v>
      </c>
      <c r="C56" s="21"/>
      <c r="D56" s="21">
        <v>66965</v>
      </c>
      <c r="E56" s="21">
        <v>75520</v>
      </c>
      <c r="F56" s="28">
        <f ca="1">E56*(1+F39)</f>
        <v>84801.407999999996</v>
      </c>
      <c r="G56" s="28">
        <f ca="1">F56*(1+G39)</f>
        <v>94333.086259200005</v>
      </c>
      <c r="H56" s="28">
        <f ca="1">G56*(1+H39)</f>
        <v>106303.95490549249</v>
      </c>
      <c r="I56" s="28">
        <f ca="1">H56*(1+I39)</f>
        <v>119793.92678299948</v>
      </c>
      <c r="J56" s="28">
        <f ca="1">I56*(1+J39)</f>
        <v>134995.77609176212</v>
      </c>
    </row>
    <row r="57" spans="2:10" x14ac:dyDescent="0.45">
      <c r="B57" s="30" t="s">
        <v>47</v>
      </c>
      <c r="C57" s="21"/>
      <c r="D57" s="21">
        <v>18103</v>
      </c>
      <c r="E57" s="21">
        <v>20576</v>
      </c>
      <c r="F57" s="28">
        <f ca="1">E57*(1+F39)</f>
        <v>23104.790400000002</v>
      </c>
      <c r="G57" s="28">
        <f ca="1">F57*(1+G39)</f>
        <v>25701.768840960001</v>
      </c>
      <c r="H57" s="28">
        <f ca="1">G57*(1+H39)</f>
        <v>28963.323306877825</v>
      </c>
      <c r="I57" s="28">
        <f ca="1">H57*(1+I39)</f>
        <v>32638.769034520621</v>
      </c>
      <c r="J57" s="28">
        <f ca="1">I57*(1+J39)</f>
        <v>36780.628825001288</v>
      </c>
    </row>
    <row r="58" spans="2:10" x14ac:dyDescent="0.45">
      <c r="B58" s="30" t="s">
        <v>48</v>
      </c>
      <c r="C58" s="21"/>
      <c r="D58" s="21">
        <v>78277</v>
      </c>
      <c r="E58" s="21">
        <v>87339</v>
      </c>
      <c r="F58" s="28">
        <f>E58</f>
        <v>87339</v>
      </c>
      <c r="G58" s="28">
        <f>F58</f>
        <v>87339</v>
      </c>
      <c r="H58" s="28">
        <f>G58</f>
        <v>87339</v>
      </c>
      <c r="I58" s="28">
        <f>H58</f>
        <v>87339</v>
      </c>
      <c r="J58" s="28">
        <f>I58</f>
        <v>87339</v>
      </c>
    </row>
    <row r="59" spans="2:10" x14ac:dyDescent="0.45">
      <c r="B59" s="30" t="s">
        <v>49</v>
      </c>
      <c r="C59" s="21"/>
      <c r="D59" s="21">
        <v>52623</v>
      </c>
      <c r="E59" s="21">
        <v>65648</v>
      </c>
      <c r="F59" s="28">
        <f>E59</f>
        <v>65648</v>
      </c>
      <c r="G59" s="28">
        <f t="shared" ref="G59:J59" si="11">F59</f>
        <v>65648</v>
      </c>
      <c r="H59" s="28">
        <f t="shared" si="11"/>
        <v>65648</v>
      </c>
      <c r="I59" s="28">
        <f t="shared" si="11"/>
        <v>65648</v>
      </c>
      <c r="J59" s="28">
        <f t="shared" si="11"/>
        <v>65648</v>
      </c>
    </row>
    <row r="60" spans="2:10" x14ac:dyDescent="0.45">
      <c r="B60" s="30" t="s">
        <v>50</v>
      </c>
      <c r="C60" s="21"/>
      <c r="D60" s="21">
        <v>28593</v>
      </c>
      <c r="E60" s="21">
        <v>35985</v>
      </c>
      <c r="F60" s="28">
        <f ca="1">E60*(1+F39)</f>
        <v>40407.556499999999</v>
      </c>
      <c r="G60" s="28">
        <f ca="1">F60*(1+G39)</f>
        <v>44949.365850599999</v>
      </c>
      <c r="H60" s="28">
        <f ca="1">G60*(1+H39)</f>
        <v>50653.440377041137</v>
      </c>
      <c r="I60" s="28">
        <f ca="1">H60*(1+I39)</f>
        <v>57081.361960887662</v>
      </c>
      <c r="J60" s="28">
        <f ca="1">I60*(1+J39)</f>
        <v>64324.986793724303</v>
      </c>
    </row>
    <row r="61" spans="2:10" x14ac:dyDescent="0.45">
      <c r="B61" s="31" t="s">
        <v>51</v>
      </c>
      <c r="C61" s="26"/>
      <c r="D61" s="26">
        <f t="shared" ref="D61:J61" si="12">SUM(D55:D60)</f>
        <v>338924</v>
      </c>
      <c r="E61" s="26">
        <f t="shared" si="12"/>
        <v>406977</v>
      </c>
      <c r="F61" s="41">
        <f t="shared" ca="1" si="12"/>
        <v>438132.28300080774</v>
      </c>
      <c r="G61" s="41">
        <f t="shared" ca="1" si="12"/>
        <v>468071.8230924806</v>
      </c>
      <c r="H61" s="41">
        <f t="shared" ca="1" si="12"/>
        <v>505413.14388426783</v>
      </c>
      <c r="I61" s="41">
        <f t="shared" ca="1" si="12"/>
        <v>550136.0215431815</v>
      </c>
      <c r="J61" s="41">
        <f t="shared" ca="1" si="12"/>
        <v>600534.23237701133</v>
      </c>
    </row>
    <row r="62" spans="2:10" x14ac:dyDescent="0.45">
      <c r="B62" s="31"/>
      <c r="C62" s="26"/>
      <c r="D62" s="26"/>
      <c r="E62" s="26"/>
      <c r="F62" s="28"/>
      <c r="G62" s="28"/>
      <c r="H62" s="28"/>
      <c r="I62" s="28"/>
      <c r="J62" s="28"/>
    </row>
    <row r="63" spans="2:10" x14ac:dyDescent="0.45">
      <c r="B63" s="30" t="s">
        <v>52</v>
      </c>
      <c r="C63" s="21"/>
      <c r="D63" s="21">
        <v>111</v>
      </c>
      <c r="E63" s="21">
        <v>112</v>
      </c>
      <c r="F63" s="28">
        <f ca="1">E63+F35</f>
        <v>21971.494299999998</v>
      </c>
      <c r="G63" s="28">
        <f ca="1">F63+G35</f>
        <v>46287.995759319994</v>
      </c>
      <c r="H63" s="28">
        <f ca="1">G63+H35</f>
        <v>73690.261253827703</v>
      </c>
      <c r="I63" s="28">
        <f ca="1">H63+I35</f>
        <v>104569.87423958845</v>
      </c>
      <c r="J63" s="28">
        <f ca="1">I63+J35</f>
        <v>139368.11011324223</v>
      </c>
    </row>
    <row r="64" spans="2:10" x14ac:dyDescent="0.45">
      <c r="B64" s="30" t="s">
        <v>53</v>
      </c>
      <c r="C64" s="21"/>
      <c r="D64" s="21">
        <v>-7837</v>
      </c>
      <c r="E64" s="21">
        <v>-7837</v>
      </c>
      <c r="F64" s="28">
        <f t="shared" ref="F64:J65" si="13">E64</f>
        <v>-7837</v>
      </c>
      <c r="G64" s="28">
        <f t="shared" si="13"/>
        <v>-7837</v>
      </c>
      <c r="H64" s="28">
        <f t="shared" si="13"/>
        <v>-7837</v>
      </c>
      <c r="I64" s="28">
        <f t="shared" si="13"/>
        <v>-7837</v>
      </c>
      <c r="J64" s="28">
        <f t="shared" si="13"/>
        <v>-7837</v>
      </c>
    </row>
    <row r="65" spans="2:12" x14ac:dyDescent="0.45">
      <c r="B65" s="30" t="s">
        <v>54</v>
      </c>
      <c r="C65" s="21"/>
      <c r="D65" s="21">
        <v>120864</v>
      </c>
      <c r="E65" s="21">
        <v>140024</v>
      </c>
      <c r="F65" s="28">
        <f t="shared" si="13"/>
        <v>140024</v>
      </c>
      <c r="G65" s="28">
        <f t="shared" si="13"/>
        <v>140024</v>
      </c>
      <c r="H65" s="28">
        <f t="shared" si="13"/>
        <v>140024</v>
      </c>
      <c r="I65" s="28">
        <f t="shared" si="13"/>
        <v>140024</v>
      </c>
      <c r="J65" s="28">
        <f t="shared" si="13"/>
        <v>140024</v>
      </c>
    </row>
    <row r="66" spans="2:12" x14ac:dyDescent="0.45">
      <c r="B66" s="30" t="s">
        <v>55</v>
      </c>
      <c r="C66" s="25"/>
      <c r="D66" s="21">
        <v>172866</v>
      </c>
      <c r="E66" s="21">
        <v>250536</v>
      </c>
      <c r="F66" s="28">
        <f ca="1">F123</f>
        <v>345163.41488104372</v>
      </c>
      <c r="G66" s="28">
        <f ca="1">G123</f>
        <v>452443.79079752835</v>
      </c>
      <c r="H66" s="28">
        <f ca="1">H123</f>
        <v>586049.18761557061</v>
      </c>
      <c r="I66" s="28">
        <f ca="1">I123</f>
        <v>735669.41207392525</v>
      </c>
      <c r="J66" s="28">
        <f ca="1">J123</f>
        <v>903451.6883021628</v>
      </c>
    </row>
    <row r="67" spans="2:12" x14ac:dyDescent="0.45">
      <c r="B67" s="30" t="s">
        <v>56</v>
      </c>
      <c r="C67" s="21"/>
      <c r="D67" s="21">
        <v>-34</v>
      </c>
      <c r="E67" s="21">
        <v>28230</v>
      </c>
      <c r="F67" s="28">
        <f>E67</f>
        <v>28230</v>
      </c>
      <c r="G67" s="28">
        <f>F67</f>
        <v>28230</v>
      </c>
      <c r="H67" s="28">
        <f>G67</f>
        <v>28230</v>
      </c>
      <c r="I67" s="28">
        <f>H67</f>
        <v>28230</v>
      </c>
      <c r="J67" s="28">
        <f>I67</f>
        <v>28230</v>
      </c>
    </row>
    <row r="68" spans="2:12" x14ac:dyDescent="0.45">
      <c r="B68" s="31" t="s">
        <v>57</v>
      </c>
      <c r="C68" s="41"/>
      <c r="D68" s="41">
        <f t="shared" ref="D68:J68" si="14">SUM(D63:D67)</f>
        <v>285970</v>
      </c>
      <c r="E68" s="41">
        <f t="shared" si="14"/>
        <v>411065</v>
      </c>
      <c r="F68" s="41">
        <f t="shared" ca="1" si="14"/>
        <v>527551.90918104374</v>
      </c>
      <c r="G68" s="41">
        <f t="shared" ca="1" si="14"/>
        <v>659148.78655684832</v>
      </c>
      <c r="H68" s="41">
        <f t="shared" ca="1" si="14"/>
        <v>820156.44886939833</v>
      </c>
      <c r="I68" s="41">
        <f t="shared" ca="1" si="14"/>
        <v>1000656.2863135138</v>
      </c>
      <c r="J68" s="41">
        <f t="shared" ca="1" si="14"/>
        <v>1203236.798415405</v>
      </c>
    </row>
    <row r="69" spans="2:12" x14ac:dyDescent="0.45">
      <c r="C69" s="28"/>
      <c r="D69" s="28"/>
      <c r="E69" s="28"/>
    </row>
    <row r="70" spans="2:12" x14ac:dyDescent="0.45">
      <c r="B70" s="19" t="s">
        <v>58</v>
      </c>
      <c r="C70" s="42"/>
      <c r="D70" s="42">
        <f t="shared" ref="D70:J70" si="15">ROUND(D53-D61-D68,3)</f>
        <v>0</v>
      </c>
      <c r="E70" s="42">
        <f t="shared" si="15"/>
        <v>0</v>
      </c>
      <c r="F70" s="42">
        <f t="shared" ca="1" si="15"/>
        <v>0</v>
      </c>
      <c r="G70" s="42">
        <f t="shared" ca="1" si="15"/>
        <v>0</v>
      </c>
      <c r="H70" s="42">
        <f t="shared" ca="1" si="15"/>
        <v>0</v>
      </c>
      <c r="I70" s="42">
        <f t="shared" ca="1" si="15"/>
        <v>0</v>
      </c>
      <c r="J70" s="42">
        <f t="shared" ca="1" si="15"/>
        <v>0</v>
      </c>
    </row>
    <row r="71" spans="2:12" x14ac:dyDescent="0.45">
      <c r="D71" s="28"/>
      <c r="E71" s="28"/>
      <c r="G71" s="28"/>
      <c r="H71" s="28"/>
      <c r="I71" s="28"/>
      <c r="J71" s="28"/>
    </row>
    <row r="72" spans="2:12" x14ac:dyDescent="0.45">
      <c r="B72" s="13" t="s">
        <v>59</v>
      </c>
      <c r="C72" s="36"/>
      <c r="D72" s="36"/>
      <c r="E72" s="36"/>
      <c r="F72" s="36"/>
      <c r="G72" s="36"/>
      <c r="H72" s="36"/>
      <c r="I72" s="36"/>
      <c r="J72" s="36"/>
    </row>
    <row r="73" spans="2:12" x14ac:dyDescent="0.45">
      <c r="B73" s="37" t="str">
        <f>B15</f>
        <v xml:space="preserve">Fiscal year  </v>
      </c>
      <c r="C73" s="38"/>
      <c r="D73" s="38"/>
      <c r="E73" s="38"/>
      <c r="F73" s="39">
        <f t="shared" ref="F73:J74" si="16">F15</f>
        <v>2026</v>
      </c>
      <c r="G73" s="39">
        <f t="shared" si="16"/>
        <v>2027</v>
      </c>
      <c r="H73" s="39">
        <f t="shared" si="16"/>
        <v>2028</v>
      </c>
      <c r="I73" s="39">
        <f t="shared" si="16"/>
        <v>2029</v>
      </c>
      <c r="J73" s="39">
        <f t="shared" si="16"/>
        <v>2030</v>
      </c>
    </row>
    <row r="74" spans="2:12" x14ac:dyDescent="0.45">
      <c r="B74" s="14" t="str">
        <f>B16</f>
        <v>Fiscal year end date</v>
      </c>
      <c r="C74" s="40"/>
      <c r="D74" s="40"/>
      <c r="E74" s="40"/>
      <c r="F74" s="40">
        <f t="shared" si="16"/>
        <v>46387</v>
      </c>
      <c r="G74" s="40">
        <f t="shared" si="16"/>
        <v>46752</v>
      </c>
      <c r="H74" s="40">
        <f t="shared" si="16"/>
        <v>47118</v>
      </c>
      <c r="I74" s="40">
        <f t="shared" si="16"/>
        <v>47483</v>
      </c>
      <c r="J74" s="40">
        <f t="shared" si="16"/>
        <v>47848</v>
      </c>
    </row>
    <row r="76" spans="2:12" x14ac:dyDescent="0.45">
      <c r="B76" t="s">
        <v>27</v>
      </c>
      <c r="C76" s="43"/>
      <c r="D76" s="43"/>
      <c r="E76" s="43"/>
      <c r="F76" s="28">
        <f ca="1">F31</f>
        <v>94627.414881043718</v>
      </c>
      <c r="G76" s="28">
        <f ca="1">G31</f>
        <v>107280.37591648466</v>
      </c>
      <c r="H76" s="28">
        <f ca="1">H31</f>
        <v>133605.39681804227</v>
      </c>
      <c r="I76" s="28">
        <f ca="1">I31</f>
        <v>149620.22445835467</v>
      </c>
      <c r="J76" s="28">
        <f ca="1">J31</f>
        <v>167782.27622823761</v>
      </c>
      <c r="L76" s="12"/>
    </row>
    <row r="77" spans="2:12" x14ac:dyDescent="0.45">
      <c r="B77" t="s">
        <v>60</v>
      </c>
      <c r="C77" s="43"/>
      <c r="D77" s="43"/>
      <c r="E77" s="43"/>
      <c r="F77" s="28">
        <f ca="1">F33</f>
        <v>86989.503613026958</v>
      </c>
      <c r="G77" s="28">
        <f ca="1">G33</f>
        <v>93649.692405740701</v>
      </c>
      <c r="H77" s="28">
        <f ca="1">H33</f>
        <v>107410.04460278916</v>
      </c>
      <c r="I77" s="28">
        <f ca="1">I33</f>
        <v>125444.05654488309</v>
      </c>
      <c r="J77" s="28">
        <f ca="1">J33</f>
        <v>146325.41124951455</v>
      </c>
    </row>
    <row r="78" spans="2:12" x14ac:dyDescent="0.45">
      <c r="B78" t="s">
        <v>30</v>
      </c>
      <c r="C78" s="43"/>
      <c r="D78" s="43"/>
      <c r="E78" s="43"/>
      <c r="F78" s="28">
        <f ca="1">F35</f>
        <v>21859.494299999998</v>
      </c>
      <c r="G78" s="28">
        <f ca="1">G35</f>
        <v>24316.501459319999</v>
      </c>
      <c r="H78" s="28">
        <f ca="1">H35</f>
        <v>27402.265494507708</v>
      </c>
      <c r="I78" s="28">
        <f ca="1">I35</f>
        <v>30879.612985760738</v>
      </c>
      <c r="J78" s="28">
        <f ca="1">J35</f>
        <v>34798.235873653779</v>
      </c>
    </row>
    <row r="79" spans="2:12" x14ac:dyDescent="0.45">
      <c r="B79" t="s">
        <v>61</v>
      </c>
      <c r="C79" s="28"/>
      <c r="D79" s="28"/>
      <c r="E79" s="28"/>
      <c r="F79" s="28">
        <f ca="1">-1*(SUM(F49:F50)-SUM(E49:E50))</f>
        <v>-13015.146505183016</v>
      </c>
      <c r="G79" s="28">
        <f ca="1">-1*(SUM(G49:G50)-SUM(F49:F50))</f>
        <v>-12719.795006196888</v>
      </c>
      <c r="H79" s="28">
        <f ca="1">-1*(SUM(H49:H50)-SUM(G49:G50))</f>
        <v>-15893.144466655416</v>
      </c>
      <c r="I79" s="28">
        <f ca="1">-1*(SUM(I49:I50)-SUM(H49:H50))</f>
        <v>-18740.856710612687</v>
      </c>
      <c r="J79" s="28">
        <f ca="1">-1*(SUM(J49:J50)-SUM(I49:I50))</f>
        <v>-21119.071427189425</v>
      </c>
    </row>
    <row r="80" spans="2:12" x14ac:dyDescent="0.45">
      <c r="B80" t="s">
        <v>62</v>
      </c>
      <c r="C80" s="28"/>
      <c r="D80" s="28"/>
      <c r="E80" s="28"/>
      <c r="F80" s="28">
        <f ca="1">SUM(F55:F57)-SUM(E55:E57)</f>
        <v>26732.726500807737</v>
      </c>
      <c r="G80" s="28">
        <f ca="1">SUM(G55:G57)-SUM(F55:F57)</f>
        <v>25397.730741072854</v>
      </c>
      <c r="H80" s="28">
        <f ca="1">SUM(H55:H57)-SUM(G55:G57)</f>
        <v>31637.246265346126</v>
      </c>
      <c r="I80" s="28">
        <f ca="1">SUM(I55:I57)-SUM(H55:H57)</f>
        <v>38294.956075067108</v>
      </c>
      <c r="J80" s="28">
        <f ca="1">SUM(J55:J57)-SUM(I55:I57)</f>
        <v>43154.586000993091</v>
      </c>
    </row>
    <row r="81" spans="2:12" x14ac:dyDescent="0.45">
      <c r="B81" t="s">
        <v>43</v>
      </c>
      <c r="F81" s="28">
        <f ca="1">-F115</f>
        <v>-55292.591000000015</v>
      </c>
      <c r="G81" s="28">
        <f ca="1">-G115</f>
        <v>-59072.171228400024</v>
      </c>
      <c r="H81" s="28">
        <f ca="1">-H115</f>
        <v>-70344.790741983976</v>
      </c>
      <c r="I81" s="28">
        <f ca="1">-I115</f>
        <v>-79271.544687141723</v>
      </c>
      <c r="J81" s="28">
        <f ca="1">-J115</f>
        <v>-89331.103707940027</v>
      </c>
    </row>
    <row r="82" spans="2:12" x14ac:dyDescent="0.45">
      <c r="B82" t="s">
        <v>50</v>
      </c>
      <c r="F82" s="28">
        <f ca="1">F60-E60</f>
        <v>4422.5564999999988</v>
      </c>
      <c r="G82" s="28">
        <f ca="1">G60-F60</f>
        <v>4541.8093506000005</v>
      </c>
      <c r="H82" s="28">
        <f ca="1">H60-G60</f>
        <v>5704.074526441138</v>
      </c>
      <c r="I82" s="28">
        <f ca="1">I60-H60</f>
        <v>6427.9215838465243</v>
      </c>
      <c r="J82" s="28">
        <f ca="1">J60-I60</f>
        <v>7243.6248328366419</v>
      </c>
      <c r="L82" s="12"/>
    </row>
    <row r="83" spans="2:12" x14ac:dyDescent="0.45">
      <c r="B83" s="12" t="s">
        <v>63</v>
      </c>
      <c r="F83" s="41">
        <f ca="1">SUM(F76:F82)</f>
        <v>166323.95828969538</v>
      </c>
      <c r="G83" s="41">
        <f ca="1">SUM(G76:G82)</f>
        <v>183394.14363862129</v>
      </c>
      <c r="H83" s="41">
        <f ca="1">SUM(H76:H82)</f>
        <v>219521.09249848701</v>
      </c>
      <c r="I83" s="41">
        <f ca="1">SUM(I76:I82)</f>
        <v>252654.37025015775</v>
      </c>
      <c r="J83" s="41">
        <f ca="1">SUM(J76:J82)</f>
        <v>288853.95905010618</v>
      </c>
    </row>
    <row r="84" spans="2:12" x14ac:dyDescent="0.45">
      <c r="F84" s="28"/>
      <c r="G84" s="28"/>
      <c r="H84" s="28"/>
      <c r="I84" s="28"/>
      <c r="J84" s="28"/>
    </row>
    <row r="85" spans="2:12" x14ac:dyDescent="0.45">
      <c r="B85" t="s">
        <v>64</v>
      </c>
      <c r="F85" s="28">
        <f>-F101</f>
        <v>-178185</v>
      </c>
      <c r="G85" s="28">
        <f>-G101</f>
        <v>-178424</v>
      </c>
      <c r="H85" s="28">
        <f>-H101</f>
        <v>-195389</v>
      </c>
      <c r="I85" s="28">
        <f ca="1">-I101</f>
        <v>-220183.86410000001</v>
      </c>
      <c r="J85" s="28">
        <f ca="1">-J101</f>
        <v>-248125.19645429001</v>
      </c>
    </row>
    <row r="86" spans="2:12" x14ac:dyDescent="0.45">
      <c r="B86" s="12" t="s">
        <v>65</v>
      </c>
      <c r="F86" s="41">
        <f>IFERROR(F85,"NA")</f>
        <v>-178185</v>
      </c>
      <c r="G86" s="41">
        <f>IFERROR(G85,"NA")</f>
        <v>-178424</v>
      </c>
      <c r="H86" s="41">
        <f>IFERROR(H85,"NA")</f>
        <v>-195389</v>
      </c>
      <c r="I86" s="41">
        <f ca="1">IFERROR(I85,"NA")</f>
        <v>-220183.86410000001</v>
      </c>
      <c r="J86" s="41">
        <f ca="1">IFERROR(J85,"NA")</f>
        <v>-248125.19645429001</v>
      </c>
    </row>
    <row r="87" spans="2:12" x14ac:dyDescent="0.45">
      <c r="F87" s="28"/>
      <c r="G87" s="28"/>
      <c r="H87" s="28"/>
      <c r="I87" s="28"/>
      <c r="J87" s="28"/>
    </row>
    <row r="88" spans="2:12" x14ac:dyDescent="0.45">
      <c r="B88" t="s">
        <v>48</v>
      </c>
      <c r="F88" s="28">
        <f>F58-E58</f>
        <v>0</v>
      </c>
      <c r="G88" s="28">
        <f t="shared" ref="G88:J88" si="17">G58-F58</f>
        <v>0</v>
      </c>
      <c r="H88" s="28">
        <f t="shared" si="17"/>
        <v>0</v>
      </c>
      <c r="I88" s="28">
        <f t="shared" si="17"/>
        <v>0</v>
      </c>
      <c r="J88" s="28">
        <f t="shared" si="17"/>
        <v>0</v>
      </c>
    </row>
    <row r="89" spans="2:12" x14ac:dyDescent="0.45">
      <c r="B89" t="s">
        <v>66</v>
      </c>
      <c r="F89" s="28">
        <f>F59-E59</f>
        <v>0</v>
      </c>
      <c r="G89" s="28">
        <f>G59-F59</f>
        <v>0</v>
      </c>
      <c r="H89" s="28">
        <f>H59-G59</f>
        <v>0</v>
      </c>
      <c r="I89" s="28">
        <f>I59-H59</f>
        <v>0</v>
      </c>
      <c r="J89" s="28">
        <f>J59-I59</f>
        <v>0</v>
      </c>
    </row>
    <row r="90" spans="2:12" x14ac:dyDescent="0.45">
      <c r="B90" t="s">
        <v>67</v>
      </c>
      <c r="F90" s="28">
        <f>F122</f>
        <v>0</v>
      </c>
      <c r="G90" s="28">
        <f>G122</f>
        <v>0</v>
      </c>
      <c r="H90" s="28">
        <f>H122</f>
        <v>0</v>
      </c>
      <c r="I90" s="28">
        <f>I122</f>
        <v>0</v>
      </c>
      <c r="J90" s="28">
        <f>J122</f>
        <v>0</v>
      </c>
    </row>
    <row r="91" spans="2:12" x14ac:dyDescent="0.45">
      <c r="B91" t="s">
        <v>68</v>
      </c>
      <c r="F91" s="28">
        <f>F121</f>
        <v>0</v>
      </c>
      <c r="G91" s="28">
        <f>G121</f>
        <v>0</v>
      </c>
      <c r="H91" s="28">
        <f>H121</f>
        <v>0</v>
      </c>
      <c r="I91" s="28">
        <f>I121</f>
        <v>0</v>
      </c>
      <c r="J91" s="28">
        <f>J121</f>
        <v>0</v>
      </c>
    </row>
    <row r="92" spans="2:12" x14ac:dyDescent="0.45">
      <c r="B92" s="12" t="s">
        <v>69</v>
      </c>
      <c r="F92" s="41">
        <f>SUM(F88:F91)</f>
        <v>0</v>
      </c>
      <c r="G92" s="41">
        <f t="shared" ref="G92:J92" si="18">SUM(G88:G91)</f>
        <v>0</v>
      </c>
      <c r="H92" s="41">
        <f t="shared" si="18"/>
        <v>0</v>
      </c>
      <c r="I92" s="41">
        <f t="shared" si="18"/>
        <v>0</v>
      </c>
      <c r="J92" s="41">
        <f t="shared" si="18"/>
        <v>0</v>
      </c>
    </row>
    <row r="93" spans="2:12" x14ac:dyDescent="0.45">
      <c r="F93" s="28"/>
      <c r="G93" s="28"/>
      <c r="H93" s="28"/>
      <c r="I93" s="28"/>
      <c r="J93" s="28"/>
    </row>
    <row r="94" spans="2:12" x14ac:dyDescent="0.45">
      <c r="B94" s="12" t="s">
        <v>70</v>
      </c>
      <c r="F94" s="41">
        <f ca="1">F83+F86+F92</f>
        <v>-11861.04171030462</v>
      </c>
      <c r="G94" s="41">
        <f ca="1">G83+G86+G92</f>
        <v>4970.1436386212881</v>
      </c>
      <c r="H94" s="41">
        <f ca="1">H83+H86+H92</f>
        <v>24132.092498487007</v>
      </c>
      <c r="I94" s="41">
        <f ca="1">I83+I86+I92</f>
        <v>32470.506150157744</v>
      </c>
      <c r="J94" s="41">
        <f ca="1">J83+J86+J92</f>
        <v>40728.762595816166</v>
      </c>
    </row>
    <row r="96" spans="2:12" x14ac:dyDescent="0.45">
      <c r="B96" s="13" t="s">
        <v>71</v>
      </c>
      <c r="C96" s="14"/>
      <c r="D96" s="14"/>
      <c r="E96" s="14"/>
      <c r="F96" s="14"/>
      <c r="G96" s="14"/>
      <c r="H96" s="14"/>
      <c r="I96" s="14"/>
      <c r="J96" s="14"/>
    </row>
    <row r="97" spans="2:16" x14ac:dyDescent="0.45">
      <c r="B97" s="37" t="str">
        <f t="shared" ref="B97:J97" si="19">B15</f>
        <v xml:space="preserve">Fiscal year  </v>
      </c>
      <c r="C97" s="38">
        <f t="shared" si="19"/>
        <v>2023</v>
      </c>
      <c r="D97" s="38">
        <f t="shared" si="19"/>
        <v>2024</v>
      </c>
      <c r="E97" s="38">
        <f t="shared" si="19"/>
        <v>2025</v>
      </c>
      <c r="F97" s="39">
        <f t="shared" si="19"/>
        <v>2026</v>
      </c>
      <c r="G97" s="39">
        <f t="shared" si="19"/>
        <v>2027</v>
      </c>
      <c r="H97" s="39">
        <f t="shared" si="19"/>
        <v>2028</v>
      </c>
      <c r="I97" s="39">
        <f t="shared" si="19"/>
        <v>2029</v>
      </c>
      <c r="J97" s="39">
        <f t="shared" si="19"/>
        <v>2030</v>
      </c>
    </row>
    <row r="98" spans="2:16" x14ac:dyDescent="0.45">
      <c r="B98" s="14" t="str">
        <f t="shared" ref="B98:J98" si="20">B16</f>
        <v>Fiscal year end date</v>
      </c>
      <c r="C98" s="40">
        <f t="shared" si="20"/>
        <v>45291</v>
      </c>
      <c r="D98" s="40">
        <f t="shared" si="20"/>
        <v>45657</v>
      </c>
      <c r="E98" s="40">
        <f t="shared" si="20"/>
        <v>46022</v>
      </c>
      <c r="F98" s="40">
        <f t="shared" si="20"/>
        <v>46387</v>
      </c>
      <c r="G98" s="40">
        <f t="shared" si="20"/>
        <v>46752</v>
      </c>
      <c r="H98" s="40">
        <f t="shared" si="20"/>
        <v>47118</v>
      </c>
      <c r="I98" s="40">
        <f t="shared" si="20"/>
        <v>47483</v>
      </c>
      <c r="J98" s="40">
        <f t="shared" si="20"/>
        <v>47848</v>
      </c>
    </row>
    <row r="99" spans="2:16" x14ac:dyDescent="0.45">
      <c r="B99" s="12"/>
      <c r="F99" s="44" t="s">
        <v>72</v>
      </c>
      <c r="G99" s="44"/>
      <c r="H99" s="44"/>
      <c r="I99" s="44"/>
      <c r="J99" s="44"/>
    </row>
    <row r="100" spans="2:16" x14ac:dyDescent="0.45">
      <c r="B100" s="30" t="s">
        <v>73</v>
      </c>
      <c r="F100" s="28">
        <f>E103</f>
        <v>357025</v>
      </c>
      <c r="G100" s="28">
        <f>F103</f>
        <v>475008.39878697303</v>
      </c>
      <c r="H100" s="28">
        <f>G103</f>
        <v>589581.5690109923</v>
      </c>
      <c r="I100" s="28">
        <f>H103</f>
        <v>711140.86270567973</v>
      </c>
      <c r="J100" s="28">
        <f ca="1">I103</f>
        <v>843722.35348822293</v>
      </c>
    </row>
    <row r="101" spans="2:16" x14ac:dyDescent="0.45">
      <c r="B101" s="45" t="s">
        <v>74</v>
      </c>
      <c r="C101" s="21">
        <v>52729</v>
      </c>
      <c r="D101" s="21">
        <v>82999</v>
      </c>
      <c r="E101" s="21">
        <v>131819</v>
      </c>
      <c r="F101" s="21">
        <v>178185</v>
      </c>
      <c r="G101" s="21">
        <v>178424</v>
      </c>
      <c r="H101" s="21">
        <v>195389</v>
      </c>
      <c r="I101" s="21">
        <f ca="1">H101*(1+I39)</f>
        <v>220183.86410000001</v>
      </c>
      <c r="J101" s="21">
        <f ca="1">I101*(1+J39)</f>
        <v>248125.19645429001</v>
      </c>
    </row>
    <row r="102" spans="2:16" x14ac:dyDescent="0.45">
      <c r="B102" s="46" t="s">
        <v>75</v>
      </c>
      <c r="C102" s="47">
        <v>-30200</v>
      </c>
      <c r="D102" s="47">
        <v>-32100</v>
      </c>
      <c r="E102" s="47">
        <v>-41900</v>
      </c>
      <c r="F102" s="48">
        <f>-(F105*F101)</f>
        <v>-60201.601213026959</v>
      </c>
      <c r="G102" s="48">
        <f>-(G105*G101)</f>
        <v>-63850.829775980703</v>
      </c>
      <c r="H102" s="48">
        <f>-(H105*H101)</f>
        <v>-73829.706305312604</v>
      </c>
      <c r="I102" s="48">
        <f ca="1">-(I105*I101)</f>
        <v>-87602.373317456775</v>
      </c>
      <c r="J102" s="48">
        <f ca="1">-(J105*J101)</f>
        <v>-103681.61842052784</v>
      </c>
    </row>
    <row r="103" spans="2:16" x14ac:dyDescent="0.45">
      <c r="B103" s="49" t="s">
        <v>76</v>
      </c>
      <c r="C103" s="41"/>
      <c r="D103" s="41">
        <f>D51</f>
        <v>252665</v>
      </c>
      <c r="E103" s="41">
        <f>E51</f>
        <v>357025</v>
      </c>
      <c r="F103" s="41">
        <f>SUM(F100:F102)</f>
        <v>475008.39878697303</v>
      </c>
      <c r="G103" s="41">
        <f>SUM(G100:G102)</f>
        <v>589581.5690109923</v>
      </c>
      <c r="H103" s="41">
        <f>SUM(H100:H102)</f>
        <v>711140.86270567973</v>
      </c>
      <c r="I103" s="41">
        <f ca="1">SUM(I100:I102)</f>
        <v>843722.35348822293</v>
      </c>
      <c r="J103" s="41">
        <f ca="1">SUM(J100:J102)</f>
        <v>988165.93152198521</v>
      </c>
    </row>
    <row r="104" spans="2:16" x14ac:dyDescent="0.45">
      <c r="B104" s="30"/>
      <c r="L104" s="33" t="s">
        <v>77</v>
      </c>
    </row>
    <row r="105" spans="2:16" x14ac:dyDescent="0.45">
      <c r="B105" s="30" t="s">
        <v>78</v>
      </c>
      <c r="C105" s="50">
        <f>-(C102/C101)</f>
        <v>0.57273985852187603</v>
      </c>
      <c r="D105" s="50">
        <f>-(D102/D101)</f>
        <v>0.38675164761021219</v>
      </c>
      <c r="E105" s="50">
        <f>-(E102/E101)</f>
        <v>0.31786009604078319</v>
      </c>
      <c r="F105" s="34">
        <f>E105+$L$105</f>
        <v>0.33786009604078321</v>
      </c>
      <c r="G105" s="34">
        <f>F105+$L$105</f>
        <v>0.35786009604078323</v>
      </c>
      <c r="H105" s="34">
        <f>G105+$L$105</f>
        <v>0.37786009604078324</v>
      </c>
      <c r="I105" s="34">
        <f>H105+$L$105</f>
        <v>0.39786009604078326</v>
      </c>
      <c r="J105" s="34">
        <f>I105+$L$105</f>
        <v>0.41786009604078328</v>
      </c>
      <c r="L105" s="51">
        <v>0.02</v>
      </c>
      <c r="N105" s="52"/>
      <c r="O105" s="52"/>
      <c r="P105" s="52"/>
    </row>
    <row r="106" spans="2:16" x14ac:dyDescent="0.45">
      <c r="B106" s="30"/>
      <c r="C106" s="50"/>
      <c r="D106" s="50"/>
      <c r="E106" s="50"/>
      <c r="F106" s="34"/>
      <c r="G106" s="34"/>
      <c r="H106" s="34"/>
      <c r="I106" s="34"/>
      <c r="J106" s="34"/>
      <c r="N106" s="52"/>
      <c r="O106" s="52"/>
      <c r="P106" s="52"/>
    </row>
    <row r="107" spans="2:16" x14ac:dyDescent="0.45">
      <c r="B107" s="53" t="s">
        <v>79</v>
      </c>
      <c r="C107" s="54"/>
      <c r="D107" s="54"/>
      <c r="E107" s="54"/>
      <c r="F107" s="55"/>
      <c r="G107" s="55"/>
      <c r="H107" s="55"/>
      <c r="I107" s="55"/>
      <c r="J107" s="55"/>
      <c r="N107" s="52"/>
      <c r="O107" s="52"/>
      <c r="P107" s="52"/>
    </row>
    <row r="108" spans="2:16" x14ac:dyDescent="0.45">
      <c r="B108" s="30" t="s">
        <v>80</v>
      </c>
      <c r="C108" s="28">
        <f>C110+C102</f>
        <v>18463</v>
      </c>
      <c r="D108" s="28">
        <f>D110+D102</f>
        <v>20695</v>
      </c>
      <c r="E108" s="28">
        <f>E110+E102</f>
        <v>23856</v>
      </c>
      <c r="F108" s="25">
        <f ca="1">F109*F18</f>
        <v>26787.902400000003</v>
      </c>
      <c r="G108" s="25">
        <f ca="1">G109*G18</f>
        <v>29798.862629760002</v>
      </c>
      <c r="H108" s="25">
        <f ca="1">H109*H18</f>
        <v>33580.338297476548</v>
      </c>
      <c r="I108" s="25">
        <f ca="1">I109*I18</f>
        <v>37841.683227426322</v>
      </c>
      <c r="J108" s="25">
        <f ca="1">J109*J18</f>
        <v>42643.79282898672</v>
      </c>
      <c r="N108" s="52"/>
      <c r="O108" s="52"/>
      <c r="P108" s="52"/>
    </row>
    <row r="109" spans="2:16" x14ac:dyDescent="0.45">
      <c r="B109" s="29" t="s">
        <v>81</v>
      </c>
      <c r="C109" s="56">
        <f>C108/C18</f>
        <v>3.2121575893594996E-2</v>
      </c>
      <c r="D109" s="56">
        <f>D108/D18</f>
        <v>3.2439388738147751E-2</v>
      </c>
      <c r="E109" s="56">
        <f>E108/E18</f>
        <v>3.3275493636703471E-2</v>
      </c>
      <c r="F109" s="34">
        <f>E109</f>
        <v>3.3275493636703471E-2</v>
      </c>
      <c r="G109" s="34">
        <f>F109</f>
        <v>3.3275493636703471E-2</v>
      </c>
      <c r="H109" s="34">
        <f>G109</f>
        <v>3.3275493636703471E-2</v>
      </c>
      <c r="I109" s="34">
        <f>H109</f>
        <v>3.3275493636703471E-2</v>
      </c>
      <c r="J109" s="34">
        <f>I109</f>
        <v>3.3275493636703471E-2</v>
      </c>
    </row>
    <row r="110" spans="2:16" x14ac:dyDescent="0.45">
      <c r="B110" s="31" t="s">
        <v>82</v>
      </c>
      <c r="C110" s="41">
        <f>C33</f>
        <v>48663</v>
      </c>
      <c r="D110" s="41">
        <f>D33</f>
        <v>52795</v>
      </c>
      <c r="E110" s="41">
        <f>E33</f>
        <v>65756</v>
      </c>
      <c r="F110" s="26">
        <f ca="1">-F102+F108</f>
        <v>86989.503613026958</v>
      </c>
      <c r="G110" s="26">
        <f ca="1">-G102+G108</f>
        <v>93649.692405740701</v>
      </c>
      <c r="H110" s="26">
        <f ca="1">-H102+H108</f>
        <v>107410.04460278916</v>
      </c>
      <c r="I110" s="26">
        <f ca="1">-I102+I108</f>
        <v>125444.05654488309</v>
      </c>
      <c r="J110" s="26">
        <f ca="1">-J102+J108</f>
        <v>146325.41124951455</v>
      </c>
    </row>
    <row r="111" spans="2:16" x14ac:dyDescent="0.45">
      <c r="B111" s="30"/>
      <c r="C111" s="28"/>
      <c r="D111" s="28"/>
      <c r="E111" s="28"/>
      <c r="G111" s="28"/>
      <c r="H111" s="28"/>
      <c r="I111" s="28"/>
      <c r="J111" s="28"/>
    </row>
    <row r="112" spans="2:16" x14ac:dyDescent="0.45">
      <c r="B112" s="57" t="s">
        <v>83</v>
      </c>
      <c r="C112" s="14"/>
      <c r="D112" s="14"/>
      <c r="E112" s="14"/>
      <c r="G112" s="28"/>
      <c r="H112" s="28"/>
      <c r="I112" s="28"/>
      <c r="J112" s="28"/>
    </row>
    <row r="113" spans="2:18" x14ac:dyDescent="0.45">
      <c r="B113" s="30" t="s">
        <v>73</v>
      </c>
      <c r="C113" s="28"/>
      <c r="F113" s="58">
        <f>E116</f>
        <v>231934</v>
      </c>
      <c r="G113" s="58">
        <f ca="1">F116</f>
        <v>260438.68859999999</v>
      </c>
      <c r="H113" s="58">
        <f ca="1">G116</f>
        <v>289711.99719864002</v>
      </c>
      <c r="I113" s="58">
        <f ca="1">H116</f>
        <v>326476.44964314747</v>
      </c>
      <c r="J113" s="58">
        <f ca="1">I116</f>
        <v>367906.31110286288</v>
      </c>
    </row>
    <row r="114" spans="2:18" x14ac:dyDescent="0.45">
      <c r="B114" s="29" t="s">
        <v>84</v>
      </c>
      <c r="F114" s="28">
        <f ca="1">-(F108)</f>
        <v>-26787.902400000003</v>
      </c>
      <c r="G114" s="28">
        <f ca="1">-(G108)</f>
        <v>-29798.862629760002</v>
      </c>
      <c r="H114" s="28">
        <f ca="1">-(H108)</f>
        <v>-33580.338297476548</v>
      </c>
      <c r="I114" s="28">
        <f ca="1">-(I108)</f>
        <v>-37841.683227426322</v>
      </c>
      <c r="J114" s="28">
        <f ca="1">-(J108)</f>
        <v>-42643.79282898672</v>
      </c>
    </row>
    <row r="115" spans="2:18" x14ac:dyDescent="0.45">
      <c r="B115" s="59" t="s">
        <v>85</v>
      </c>
      <c r="C115" s="60"/>
      <c r="D115" s="60"/>
      <c r="E115" s="60"/>
      <c r="F115" s="61">
        <f ca="1">F116-F114-F113</f>
        <v>55292.591000000015</v>
      </c>
      <c r="G115" s="61">
        <f ca="1">G116-G114-G113</f>
        <v>59072.171228400024</v>
      </c>
      <c r="H115" s="61">
        <f ca="1">H116-H114-H113</f>
        <v>70344.790741983976</v>
      </c>
      <c r="I115" s="61">
        <f ca="1">I116-I114-I113</f>
        <v>79271.544687141723</v>
      </c>
      <c r="J115" s="61">
        <f ca="1">J116-J114-J113</f>
        <v>89331.103707940027</v>
      </c>
    </row>
    <row r="116" spans="2:18" x14ac:dyDescent="0.45">
      <c r="B116" s="49" t="s">
        <v>76</v>
      </c>
      <c r="D116" s="41">
        <f t="shared" ref="D116:J116" si="21">D52</f>
        <v>181362</v>
      </c>
      <c r="E116" s="41">
        <f t="shared" si="21"/>
        <v>231934</v>
      </c>
      <c r="F116" s="41">
        <f t="shared" ca="1" si="21"/>
        <v>260438.68859999999</v>
      </c>
      <c r="G116" s="41">
        <f t="shared" ca="1" si="21"/>
        <v>289711.99719864002</v>
      </c>
      <c r="H116" s="41">
        <f t="shared" ca="1" si="21"/>
        <v>326476.44964314747</v>
      </c>
      <c r="I116" s="41">
        <f t="shared" ca="1" si="21"/>
        <v>367906.31110286288</v>
      </c>
      <c r="J116" s="41">
        <f t="shared" ca="1" si="21"/>
        <v>414593.62198181619</v>
      </c>
    </row>
    <row r="117" spans="2:18" x14ac:dyDescent="0.45">
      <c r="B117" s="29"/>
      <c r="D117" s="28"/>
      <c r="E117" s="28"/>
      <c r="G117" s="28"/>
      <c r="H117" s="28"/>
      <c r="I117" s="28"/>
      <c r="J117" s="28"/>
    </row>
    <row r="118" spans="2:18" x14ac:dyDescent="0.45">
      <c r="B118" s="62" t="s">
        <v>86</v>
      </c>
      <c r="C118" s="57"/>
      <c r="D118" s="57"/>
      <c r="E118" s="57"/>
      <c r="F118" s="14"/>
      <c r="G118" s="14"/>
      <c r="H118" s="14"/>
      <c r="I118" s="14"/>
      <c r="J118" s="14"/>
    </row>
    <row r="119" spans="2:18" x14ac:dyDescent="0.45">
      <c r="B119" s="30" t="s">
        <v>73</v>
      </c>
      <c r="F119" s="28">
        <f>E123</f>
        <v>250536</v>
      </c>
      <c r="G119" s="28">
        <f ca="1">F123</f>
        <v>345163.41488104372</v>
      </c>
      <c r="H119" s="28">
        <f ca="1">G123</f>
        <v>452443.79079752835</v>
      </c>
      <c r="I119" s="28">
        <f ca="1">H123</f>
        <v>586049.18761557061</v>
      </c>
      <c r="J119" s="28">
        <f ca="1">I123</f>
        <v>735669.41207392525</v>
      </c>
    </row>
    <row r="120" spans="2:18" x14ac:dyDescent="0.45">
      <c r="B120" s="29" t="s">
        <v>87</v>
      </c>
      <c r="C120" s="25">
        <f t="shared" ref="C120:J120" si="22">C31</f>
        <v>30425</v>
      </c>
      <c r="D120" s="25">
        <f t="shared" si="22"/>
        <v>59248</v>
      </c>
      <c r="E120" s="25">
        <f t="shared" si="22"/>
        <v>77670</v>
      </c>
      <c r="F120" s="28">
        <f t="shared" ca="1" si="22"/>
        <v>94627.414881043718</v>
      </c>
      <c r="G120" s="28">
        <f t="shared" ca="1" si="22"/>
        <v>107280.37591648466</v>
      </c>
      <c r="H120" s="28">
        <f t="shared" ca="1" si="22"/>
        <v>133605.39681804227</v>
      </c>
      <c r="I120" s="28">
        <f t="shared" ca="1" si="22"/>
        <v>149620.22445835467</v>
      </c>
      <c r="J120" s="28">
        <f t="shared" ca="1" si="22"/>
        <v>167782.27622823761</v>
      </c>
    </row>
    <row r="121" spans="2:18" x14ac:dyDescent="0.45">
      <c r="B121" s="29" t="s">
        <v>88</v>
      </c>
      <c r="C121" s="21">
        <v>0</v>
      </c>
      <c r="D121" s="21">
        <v>0</v>
      </c>
      <c r="E121" s="21">
        <v>0</v>
      </c>
      <c r="F121" s="28">
        <f>E121</f>
        <v>0</v>
      </c>
      <c r="G121" s="28">
        <f>F121</f>
        <v>0</v>
      </c>
      <c r="H121" s="28">
        <f t="shared" ref="H121:J122" si="23">G121</f>
        <v>0</v>
      </c>
      <c r="I121" s="28">
        <f t="shared" si="23"/>
        <v>0</v>
      </c>
      <c r="J121" s="28">
        <f t="shared" si="23"/>
        <v>0</v>
      </c>
    </row>
    <row r="122" spans="2:18" x14ac:dyDescent="0.45">
      <c r="B122" s="59" t="s">
        <v>89</v>
      </c>
      <c r="C122" s="47">
        <v>0</v>
      </c>
      <c r="D122" s="47">
        <v>0</v>
      </c>
      <c r="E122" s="47">
        <v>0</v>
      </c>
      <c r="F122" s="48">
        <f>E122</f>
        <v>0</v>
      </c>
      <c r="G122" s="48">
        <f>F122</f>
        <v>0</v>
      </c>
      <c r="H122" s="48">
        <f t="shared" si="23"/>
        <v>0</v>
      </c>
      <c r="I122" s="48">
        <f t="shared" si="23"/>
        <v>0</v>
      </c>
      <c r="J122" s="48">
        <f t="shared" si="23"/>
        <v>0</v>
      </c>
    </row>
    <row r="123" spans="2:18" x14ac:dyDescent="0.45">
      <c r="B123" s="49" t="s">
        <v>76</v>
      </c>
      <c r="C123" s="26">
        <f>C66</f>
        <v>0</v>
      </c>
      <c r="D123" s="26">
        <f>D66</f>
        <v>172866</v>
      </c>
      <c r="E123" s="26">
        <f>E66</f>
        <v>250536</v>
      </c>
      <c r="F123" s="41">
        <f ca="1">SUM(F119:F122)</f>
        <v>345163.41488104372</v>
      </c>
      <c r="G123" s="41">
        <f ca="1">SUM(G119:G122)</f>
        <v>452443.79079752835</v>
      </c>
      <c r="H123" s="41">
        <f ca="1">SUM(H119:H122)</f>
        <v>586049.18761557061</v>
      </c>
      <c r="I123" s="41">
        <f ca="1">SUM(I119:I122)</f>
        <v>735669.41207392525</v>
      </c>
      <c r="J123" s="41">
        <f ca="1">SUM(J119:J122)</f>
        <v>903451.6883021628</v>
      </c>
    </row>
    <row r="124" spans="2:18" x14ac:dyDescent="0.45">
      <c r="D124" s="43"/>
      <c r="E124" s="43"/>
    </row>
    <row r="125" spans="2:18" x14ac:dyDescent="0.45">
      <c r="C125" s="28"/>
      <c r="D125" s="28"/>
      <c r="E125" s="63"/>
      <c r="F125" s="64"/>
      <c r="G125" s="64"/>
      <c r="H125" s="64"/>
      <c r="I125" s="64"/>
      <c r="J125" s="64"/>
      <c r="R125" s="43"/>
    </row>
    <row r="126" spans="2:18" x14ac:dyDescent="0.45">
      <c r="B126" s="13" t="s">
        <v>90</v>
      </c>
      <c r="C126" s="54"/>
      <c r="D126" s="54"/>
      <c r="E126" s="54"/>
      <c r="F126" s="65"/>
      <c r="G126" s="65"/>
      <c r="H126" s="65"/>
      <c r="I126" s="65"/>
      <c r="J126" s="65"/>
      <c r="Q126" s="66"/>
    </row>
    <row r="127" spans="2:18" x14ac:dyDescent="0.45">
      <c r="B127" s="37" t="str">
        <f t="shared" ref="B127:J127" si="24">B15</f>
        <v xml:space="preserve">Fiscal year  </v>
      </c>
      <c r="C127" s="38">
        <f t="shared" si="24"/>
        <v>2023</v>
      </c>
      <c r="D127" s="38">
        <f t="shared" si="24"/>
        <v>2024</v>
      </c>
      <c r="E127" s="38">
        <f t="shared" si="24"/>
        <v>2025</v>
      </c>
      <c r="F127" s="39">
        <f t="shared" si="24"/>
        <v>2026</v>
      </c>
      <c r="G127" s="39">
        <f t="shared" si="24"/>
        <v>2027</v>
      </c>
      <c r="H127" s="39">
        <f t="shared" si="24"/>
        <v>2028</v>
      </c>
      <c r="I127" s="39">
        <f t="shared" si="24"/>
        <v>2029</v>
      </c>
      <c r="J127" s="39">
        <f t="shared" si="24"/>
        <v>2030</v>
      </c>
      <c r="Q127" s="66"/>
      <c r="R127" s="43"/>
    </row>
    <row r="128" spans="2:18" x14ac:dyDescent="0.45">
      <c r="B128" s="14" t="str">
        <f t="shared" ref="B128:J128" si="25">B16</f>
        <v>Fiscal year end date</v>
      </c>
      <c r="C128" s="40">
        <f t="shared" si="25"/>
        <v>45291</v>
      </c>
      <c r="D128" s="40">
        <f t="shared" si="25"/>
        <v>45657</v>
      </c>
      <c r="E128" s="40">
        <f t="shared" si="25"/>
        <v>46022</v>
      </c>
      <c r="F128" s="40">
        <f t="shared" si="25"/>
        <v>46387</v>
      </c>
      <c r="G128" s="40">
        <f t="shared" si="25"/>
        <v>46752</v>
      </c>
      <c r="H128" s="40">
        <f t="shared" si="25"/>
        <v>47118</v>
      </c>
      <c r="I128" s="40">
        <f t="shared" si="25"/>
        <v>47483</v>
      </c>
      <c r="J128" s="40">
        <f t="shared" si="25"/>
        <v>47848</v>
      </c>
      <c r="Q128" s="66"/>
    </row>
    <row r="129" spans="2:17" x14ac:dyDescent="0.45">
      <c r="B129" s="29"/>
      <c r="C129" s="28"/>
      <c r="D129" s="28"/>
      <c r="E129" s="28"/>
      <c r="F129" s="67"/>
      <c r="G129" s="67"/>
      <c r="H129" s="67"/>
      <c r="I129" s="67"/>
      <c r="J129" s="67"/>
      <c r="Q129" s="66"/>
    </row>
    <row r="130" spans="2:17" x14ac:dyDescent="0.45">
      <c r="B130" s="30" t="s">
        <v>91</v>
      </c>
      <c r="C130" s="28">
        <f>-(C26)</f>
        <v>3182</v>
      </c>
      <c r="D130" s="28">
        <f>-(D26)</f>
        <v>2406</v>
      </c>
      <c r="E130" s="28">
        <f>-(E26)</f>
        <v>2274</v>
      </c>
      <c r="F130" s="28">
        <f>F135</f>
        <v>2524.4320585773353</v>
      </c>
      <c r="G130" s="28">
        <f t="shared" ref="G130:J130" si="26">G135</f>
        <v>2524.4320585773353</v>
      </c>
      <c r="H130" s="28">
        <f t="shared" si="26"/>
        <v>2524.4320585773353</v>
      </c>
      <c r="I130" s="28">
        <f t="shared" si="26"/>
        <v>2524.4320585773353</v>
      </c>
      <c r="J130" s="28">
        <f t="shared" si="26"/>
        <v>2524.4320585773353</v>
      </c>
      <c r="Q130" s="43"/>
    </row>
    <row r="131" spans="2:17" x14ac:dyDescent="0.45">
      <c r="B131" s="68"/>
      <c r="Q131" s="43"/>
    </row>
    <row r="132" spans="2:17" x14ac:dyDescent="0.45">
      <c r="B132" s="69" t="s">
        <v>66</v>
      </c>
      <c r="C132" s="28"/>
      <c r="D132" s="28"/>
      <c r="E132" s="28"/>
    </row>
    <row r="133" spans="2:17" x14ac:dyDescent="0.45">
      <c r="B133" s="29" t="s">
        <v>92</v>
      </c>
      <c r="C133" s="28"/>
      <c r="D133" s="28">
        <f t="shared" ref="D133:J133" si="27">D59</f>
        <v>52623</v>
      </c>
      <c r="E133" s="28">
        <f t="shared" si="27"/>
        <v>65648</v>
      </c>
      <c r="F133" s="28">
        <f t="shared" si="27"/>
        <v>65648</v>
      </c>
      <c r="G133" s="28">
        <f t="shared" si="27"/>
        <v>65648</v>
      </c>
      <c r="H133" s="28">
        <f t="shared" si="27"/>
        <v>65648</v>
      </c>
      <c r="I133" s="28">
        <f t="shared" si="27"/>
        <v>65648</v>
      </c>
      <c r="J133" s="28">
        <f t="shared" si="27"/>
        <v>65648</v>
      </c>
    </row>
    <row r="134" spans="2:17" x14ac:dyDescent="0.45">
      <c r="B134" s="29" t="s">
        <v>93</v>
      </c>
      <c r="D134" s="56">
        <f t="shared" ref="D134" si="28">D135/AVERAGE(C133:D133)</f>
        <v>4.5721452596773272E-2</v>
      </c>
      <c r="E134" s="56">
        <f>E135/AVERAGE(D133:E133)</f>
        <v>3.8454058898631113E-2</v>
      </c>
      <c r="F134" s="70">
        <f>E134</f>
        <v>3.8454058898631113E-2</v>
      </c>
      <c r="G134" s="70">
        <f>F134</f>
        <v>3.8454058898631113E-2</v>
      </c>
      <c r="H134" s="70">
        <f>G134</f>
        <v>3.8454058898631113E-2</v>
      </c>
      <c r="I134" s="70">
        <f>H134</f>
        <v>3.8454058898631113E-2</v>
      </c>
      <c r="J134" s="70">
        <f>I134</f>
        <v>3.8454058898631113E-2</v>
      </c>
      <c r="Q134" s="66"/>
    </row>
    <row r="135" spans="2:17" x14ac:dyDescent="0.45">
      <c r="B135" s="49" t="s">
        <v>22</v>
      </c>
      <c r="C135" s="41"/>
      <c r="D135" s="41">
        <f>D130</f>
        <v>2406</v>
      </c>
      <c r="E135" s="41">
        <f>E130</f>
        <v>2274</v>
      </c>
      <c r="F135" s="26">
        <f>F134*AVERAGE(E133:F133)</f>
        <v>2524.4320585773353</v>
      </c>
      <c r="G135" s="26">
        <f>G134*AVERAGE(F133:G133)</f>
        <v>2524.4320585773353</v>
      </c>
      <c r="H135" s="26">
        <f>H134*AVERAGE(G133:H133)</f>
        <v>2524.4320585773353</v>
      </c>
      <c r="I135" s="26">
        <f>I134*AVERAGE(H133:I133)</f>
        <v>2524.4320585773353</v>
      </c>
      <c r="J135" s="26">
        <f>J134*AVERAGE(I133:J133)</f>
        <v>2524.4320585773353</v>
      </c>
    </row>
    <row r="136" spans="2:17" x14ac:dyDescent="0.45">
      <c r="D136" s="28"/>
    </row>
    <row r="137" spans="2:17" x14ac:dyDescent="0.45">
      <c r="B137" s="71" t="s">
        <v>94</v>
      </c>
      <c r="D137" s="28"/>
      <c r="E137" s="28"/>
    </row>
    <row r="138" spans="2:17" x14ac:dyDescent="0.45">
      <c r="B138" s="29" t="s">
        <v>95</v>
      </c>
      <c r="C138" s="72">
        <v>0.03</v>
      </c>
      <c r="D138" s="73">
        <v>0.03</v>
      </c>
      <c r="E138" s="73">
        <v>0.03</v>
      </c>
      <c r="F138" s="74">
        <f>E138</f>
        <v>0.03</v>
      </c>
      <c r="G138" s="74">
        <f>F138</f>
        <v>0.03</v>
      </c>
      <c r="H138" s="74">
        <f>G138</f>
        <v>0.03</v>
      </c>
      <c r="I138" s="74">
        <f>H138</f>
        <v>0.03</v>
      </c>
      <c r="J138" s="74">
        <f>I138</f>
        <v>0.03</v>
      </c>
    </row>
    <row r="139" spans="2:17" x14ac:dyDescent="0.45">
      <c r="B139" s="29" t="s">
        <v>21</v>
      </c>
      <c r="C139" s="28">
        <f>C25</f>
        <v>2949</v>
      </c>
      <c r="D139" s="28">
        <f>D25</f>
        <v>4677</v>
      </c>
      <c r="E139" s="28">
        <f>E25</f>
        <v>4381</v>
      </c>
      <c r="F139" s="25">
        <f ca="1">IF($C$7=1,AVERAGE(E48,F48)*F138,0)</f>
        <v>3512.9543743454306</v>
      </c>
      <c r="G139" s="25">
        <f ca="1">IF($C$7=1,AVERAGE(F48,G48)*G138,0)</f>
        <v>3409.5909032701807</v>
      </c>
      <c r="H139" s="25">
        <f ca="1">IF($C$7=1,AVERAGE(G48,H48)*H138,0)</f>
        <v>3846.124445326805</v>
      </c>
      <c r="I139" s="25">
        <f ca="1">IF($C$7=1,AVERAGE(H48,I48)*I138,0)</f>
        <v>4695.1634250564766</v>
      </c>
      <c r="J139" s="25">
        <f ca="1">IF($C$7=1,AVERAGE(I48,J48)*J138,0)</f>
        <v>5793.1524562460845</v>
      </c>
    </row>
    <row r="140" spans="2:17" x14ac:dyDescent="0.45">
      <c r="B140" s="75"/>
      <c r="C140" s="56"/>
      <c r="D140" s="56"/>
      <c r="E140" s="56"/>
      <c r="F140" s="56"/>
      <c r="G140" s="56"/>
    </row>
    <row r="141" spans="2:17" x14ac:dyDescent="0.45">
      <c r="B141" s="13" t="s">
        <v>96</v>
      </c>
      <c r="C141" s="13"/>
      <c r="D141" s="13"/>
      <c r="E141" s="13"/>
      <c r="F141" s="13"/>
      <c r="G141" s="13"/>
      <c r="H141" s="13"/>
      <c r="I141" s="13"/>
      <c r="J141" s="13"/>
    </row>
    <row r="142" spans="2:17" x14ac:dyDescent="0.45">
      <c r="B142" s="12"/>
    </row>
    <row r="143" spans="2:17" ht="14.65" thickBot="1" x14ac:dyDescent="0.5">
      <c r="B143" s="76" t="s">
        <v>97</v>
      </c>
      <c r="C143" s="77"/>
      <c r="D143" s="77"/>
      <c r="E143" s="77"/>
      <c r="F143" s="77"/>
      <c r="G143" s="77"/>
      <c r="H143" s="77"/>
    </row>
    <row r="144" spans="2:17" x14ac:dyDescent="0.45">
      <c r="C144" s="12"/>
      <c r="D144" s="78" t="s">
        <v>98</v>
      </c>
      <c r="E144" s="79"/>
      <c r="F144" s="79"/>
      <c r="G144" s="79"/>
      <c r="H144" s="79"/>
    </row>
    <row r="145" spans="2:15" ht="14.65" thickBot="1" x14ac:dyDescent="0.5">
      <c r="C145" s="80">
        <f ca="1">F31</f>
        <v>94627.414881043718</v>
      </c>
      <c r="D145" s="81">
        <v>-0.05</v>
      </c>
      <c r="E145" s="81">
        <v>-2.5000000000000001E-2</v>
      </c>
      <c r="F145" s="81">
        <v>0</v>
      </c>
      <c r="G145" s="81">
        <v>2.5000000000000001E-2</v>
      </c>
      <c r="H145" s="81">
        <v>0.05</v>
      </c>
    </row>
    <row r="146" spans="2:15" x14ac:dyDescent="0.45">
      <c r="B146" s="82"/>
      <c r="C146" s="83">
        <v>0.39</v>
      </c>
      <c r="D146" s="84">
        <v>103823.41136232308</v>
      </c>
      <c r="E146" s="84">
        <v>106227.41420835082</v>
      </c>
      <c r="F146" s="84">
        <v>108631.4170543786</v>
      </c>
      <c r="G146" s="84">
        <v>111035.41990040637</v>
      </c>
      <c r="H146" s="84">
        <v>113439.42274643412</v>
      </c>
    </row>
    <row r="147" spans="2:15" x14ac:dyDescent="0.45">
      <c r="B147" s="85" t="s">
        <v>99</v>
      </c>
      <c r="C147" s="83">
        <v>0.38500000000000001</v>
      </c>
      <c r="D147" s="84">
        <v>101022.6303995475</v>
      </c>
      <c r="E147" s="84">
        <v>103352.92848339677</v>
      </c>
      <c r="F147" s="84">
        <v>105683.22656724622</v>
      </c>
      <c r="G147" s="84">
        <v>108013.52465109568</v>
      </c>
      <c r="H147" s="84">
        <v>110343.82273494515</v>
      </c>
    </row>
    <row r="148" spans="2:15" x14ac:dyDescent="0.45">
      <c r="B148" s="85" t="s">
        <v>100</v>
      </c>
      <c r="C148" s="83">
        <v>0.38</v>
      </c>
      <c r="D148" s="84">
        <v>98221.849436771736</v>
      </c>
      <c r="E148" s="84">
        <v>100478.44275844266</v>
      </c>
      <c r="F148" s="84">
        <v>102735.03608011384</v>
      </c>
      <c r="G148" s="84">
        <v>104991.62940178497</v>
      </c>
      <c r="H148" s="84">
        <v>107248.22272345613</v>
      </c>
    </row>
    <row r="149" spans="2:15" x14ac:dyDescent="0.45">
      <c r="B149" s="85" t="s">
        <v>101</v>
      </c>
      <c r="C149" s="83">
        <v>0.375</v>
      </c>
      <c r="D149" s="84">
        <v>95421.068473995954</v>
      </c>
      <c r="E149" s="84">
        <v>97603.957033488608</v>
      </c>
      <c r="F149" s="84">
        <v>99786.845592981481</v>
      </c>
      <c r="G149" s="84">
        <v>101969.73415247427</v>
      </c>
      <c r="H149" s="84">
        <v>104152.62271196711</v>
      </c>
    </row>
    <row r="150" spans="2:15" x14ac:dyDescent="0.45">
      <c r="C150" s="83">
        <v>0.37</v>
      </c>
      <c r="D150" s="84">
        <v>92620.287511220173</v>
      </c>
      <c r="E150" s="84">
        <v>94729.471308534557</v>
      </c>
      <c r="F150" s="84">
        <v>96838.655105849102</v>
      </c>
      <c r="G150" s="84">
        <v>98947.838903163574</v>
      </c>
      <c r="H150" s="84">
        <v>101057.02270047815</v>
      </c>
    </row>
    <row r="151" spans="2:15" x14ac:dyDescent="0.45">
      <c r="C151" s="83">
        <v>0.36499999999999999</v>
      </c>
      <c r="D151" s="84">
        <v>89819.506548444406</v>
      </c>
      <c r="E151" s="84">
        <v>91854.985583580448</v>
      </c>
      <c r="F151" s="84">
        <v>93890.46461871668</v>
      </c>
      <c r="G151" s="84">
        <v>95925.943653852883</v>
      </c>
      <c r="H151" s="84">
        <v>97961.422688989114</v>
      </c>
    </row>
    <row r="153" spans="2:15" x14ac:dyDescent="0.45">
      <c r="B153" s="13" t="s">
        <v>102</v>
      </c>
      <c r="C153" s="13"/>
      <c r="D153" s="13"/>
      <c r="E153" s="13"/>
      <c r="F153" s="13"/>
      <c r="G153" s="13"/>
      <c r="H153" s="13"/>
      <c r="I153" s="13"/>
      <c r="J153" s="13"/>
    </row>
    <row r="154" spans="2:15" ht="14.65" thickBot="1" x14ac:dyDescent="0.5"/>
    <row r="155" spans="2:15" ht="14.65" thickBot="1" x14ac:dyDescent="0.5">
      <c r="B155" t="s">
        <v>103</v>
      </c>
      <c r="C155" s="86" t="str">
        <f>C12</f>
        <v>Base case</v>
      </c>
      <c r="E155" s="87" t="s">
        <v>104</v>
      </c>
      <c r="F155" s="39">
        <f t="shared" ref="F155:J156" si="29">F15</f>
        <v>2026</v>
      </c>
      <c r="G155" s="39">
        <f t="shared" si="29"/>
        <v>2027</v>
      </c>
      <c r="H155" s="39">
        <f t="shared" si="29"/>
        <v>2028</v>
      </c>
      <c r="I155" s="39">
        <f t="shared" si="29"/>
        <v>2029</v>
      </c>
      <c r="J155" s="39">
        <f t="shared" si="29"/>
        <v>2030</v>
      </c>
    </row>
    <row r="156" spans="2:15" x14ac:dyDescent="0.45">
      <c r="D156" s="88"/>
      <c r="E156" s="89" t="s">
        <v>105</v>
      </c>
      <c r="F156" s="40">
        <f t="shared" si="29"/>
        <v>46387</v>
      </c>
      <c r="G156" s="40">
        <f t="shared" si="29"/>
        <v>46752</v>
      </c>
      <c r="H156" s="40">
        <f t="shared" si="29"/>
        <v>47118</v>
      </c>
      <c r="I156" s="40">
        <f t="shared" si="29"/>
        <v>47483</v>
      </c>
      <c r="J156" s="40">
        <f t="shared" si="29"/>
        <v>47848</v>
      </c>
    </row>
    <row r="157" spans="2:15" x14ac:dyDescent="0.45">
      <c r="B157" s="29" t="s">
        <v>33</v>
      </c>
      <c r="E157" s="90" t="str">
        <f t="shared" ref="E157:J160" ca="1" si="30">OFFSET(E$162,MATCH($C$12,$B$163:$B$165,0)+MATCH($B157,$B$162:$B$177,0)-1,0)</f>
        <v>NM</v>
      </c>
      <c r="F157" s="91">
        <f t="shared" ca="1" si="30"/>
        <v>0.1229</v>
      </c>
      <c r="G157" s="91">
        <f t="shared" ca="1" si="30"/>
        <v>0.1124</v>
      </c>
      <c r="H157" s="91">
        <f t="shared" ca="1" si="30"/>
        <v>0.12690000000000001</v>
      </c>
      <c r="I157" s="91">
        <f t="shared" ca="1" si="30"/>
        <v>0.12690000000000001</v>
      </c>
      <c r="J157" s="91">
        <f t="shared" ca="1" si="30"/>
        <v>0.12690000000000001</v>
      </c>
      <c r="L157" s="92"/>
      <c r="M157" s="92"/>
      <c r="N157" s="92"/>
      <c r="O157" s="92"/>
    </row>
    <row r="158" spans="2:15" x14ac:dyDescent="0.45">
      <c r="B158" s="29" t="s">
        <v>34</v>
      </c>
      <c r="E158" s="90" t="str">
        <f t="shared" ca="1" si="30"/>
        <v>NM</v>
      </c>
      <c r="F158" s="91">
        <f t="shared" ca="1" si="30"/>
        <v>0.35099999999999998</v>
      </c>
      <c r="G158" s="91">
        <f t="shared" ca="1" si="30"/>
        <v>0.36</v>
      </c>
      <c r="H158" s="91">
        <f t="shared" ca="1" si="30"/>
        <v>0.37</v>
      </c>
      <c r="I158" s="91">
        <f t="shared" ca="1" si="30"/>
        <v>0.37</v>
      </c>
      <c r="J158" s="91">
        <f t="shared" ca="1" si="30"/>
        <v>0.37</v>
      </c>
      <c r="L158" s="92"/>
      <c r="M158" s="92"/>
      <c r="N158" s="92"/>
      <c r="O158" s="92"/>
    </row>
    <row r="159" spans="2:15" x14ac:dyDescent="0.45">
      <c r="B159" s="29" t="s">
        <v>35</v>
      </c>
      <c r="E159" s="90" t="str">
        <f t="shared" ca="1" si="30"/>
        <v>NM</v>
      </c>
      <c r="F159" s="91">
        <f t="shared" ca="1" si="30"/>
        <v>0.15</v>
      </c>
      <c r="G159" s="91">
        <f t="shared" ca="1" si="30"/>
        <v>0.155</v>
      </c>
      <c r="H159" s="91">
        <f t="shared" ca="1" si="30"/>
        <v>0.157</v>
      </c>
      <c r="I159" s="91">
        <f t="shared" ca="1" si="30"/>
        <v>0.157</v>
      </c>
      <c r="J159" s="91">
        <f t="shared" ca="1" si="30"/>
        <v>0.157</v>
      </c>
      <c r="L159" s="92"/>
      <c r="M159" s="92"/>
      <c r="N159" s="92"/>
      <c r="O159" s="92"/>
    </row>
    <row r="160" spans="2:15" x14ac:dyDescent="0.45">
      <c r="B160" s="29" t="s">
        <v>36</v>
      </c>
      <c r="E160" s="90" t="str">
        <f t="shared" ca="1" si="30"/>
        <v>NM</v>
      </c>
      <c r="F160" s="91">
        <f t="shared" ca="1" si="30"/>
        <v>7.5899999999999995E-2</v>
      </c>
      <c r="G160" s="91">
        <f t="shared" ca="1" si="30"/>
        <v>7.4700000000000003E-2</v>
      </c>
      <c r="H160" s="91">
        <f t="shared" ca="1" si="30"/>
        <v>6.6000000000000003E-2</v>
      </c>
      <c r="I160" s="91">
        <f t="shared" ca="1" si="30"/>
        <v>6.6000000000000003E-2</v>
      </c>
      <c r="J160" s="91">
        <f t="shared" ca="1" si="30"/>
        <v>6.6000000000000003E-2</v>
      </c>
      <c r="L160" s="92"/>
      <c r="M160" s="92"/>
      <c r="N160" s="92"/>
      <c r="O160" s="92"/>
    </row>
    <row r="161" spans="2:18" x14ac:dyDescent="0.45">
      <c r="E161" s="93"/>
    </row>
    <row r="162" spans="2:18" x14ac:dyDescent="0.45">
      <c r="B162" s="49" t="s">
        <v>33</v>
      </c>
      <c r="E162" s="93"/>
    </row>
    <row r="163" spans="2:18" x14ac:dyDescent="0.45">
      <c r="B163" s="94" t="s">
        <v>106</v>
      </c>
      <c r="E163" s="95">
        <v>2.5000000000000001E-2</v>
      </c>
      <c r="F163" s="34">
        <f>F164+$E$163</f>
        <v>0.1479</v>
      </c>
      <c r="G163" s="34">
        <f>G164+$E$163</f>
        <v>0.13739999999999999</v>
      </c>
      <c r="H163" s="34">
        <f>H164+$E$163</f>
        <v>0.15190000000000001</v>
      </c>
      <c r="I163" s="34">
        <f>I164+$E$163</f>
        <v>0.15190000000000001</v>
      </c>
      <c r="J163" s="34">
        <f>J164+$E$163</f>
        <v>0.15190000000000001</v>
      </c>
    </row>
    <row r="164" spans="2:18" x14ac:dyDescent="0.45">
      <c r="B164" s="94" t="s">
        <v>10</v>
      </c>
      <c r="E164" s="96" t="s">
        <v>107</v>
      </c>
      <c r="F164" s="35">
        <v>0.1229</v>
      </c>
      <c r="G164" s="35">
        <v>0.1124</v>
      </c>
      <c r="H164" s="35">
        <v>0.12690000000000001</v>
      </c>
      <c r="I164" s="34">
        <f>H164</f>
        <v>0.12690000000000001</v>
      </c>
      <c r="J164" s="34">
        <f>I164</f>
        <v>0.12690000000000001</v>
      </c>
      <c r="N164" s="35"/>
      <c r="O164" s="35"/>
      <c r="P164" s="35"/>
      <c r="Q164" s="35"/>
      <c r="R164" s="35"/>
    </row>
    <row r="165" spans="2:18" x14ac:dyDescent="0.45">
      <c r="B165" s="94" t="s">
        <v>108</v>
      </c>
      <c r="E165" s="95">
        <v>-2.5000000000000001E-2</v>
      </c>
      <c r="F165" s="34">
        <f>F164+$E$165</f>
        <v>9.7899999999999987E-2</v>
      </c>
      <c r="G165" s="34">
        <f>G164+$E$165</f>
        <v>8.7400000000000005E-2</v>
      </c>
      <c r="H165" s="34">
        <f>H164+$E$165</f>
        <v>0.10190000000000002</v>
      </c>
      <c r="I165" s="34">
        <f>I164+$E$165</f>
        <v>0.10190000000000002</v>
      </c>
      <c r="J165" s="34">
        <f>J164+$E$165</f>
        <v>0.10190000000000002</v>
      </c>
      <c r="N165" s="35"/>
      <c r="O165" s="35"/>
      <c r="P165" s="35"/>
      <c r="Q165" s="35"/>
      <c r="R165" s="35"/>
    </row>
    <row r="166" spans="2:18" x14ac:dyDescent="0.45">
      <c r="B166" s="49" t="s">
        <v>34</v>
      </c>
      <c r="E166" s="96"/>
      <c r="F166" s="35"/>
      <c r="G166" s="35"/>
      <c r="H166" s="35"/>
      <c r="I166" s="35"/>
      <c r="J166" s="35"/>
      <c r="N166" s="35"/>
      <c r="O166" s="35"/>
      <c r="P166" s="35"/>
      <c r="Q166" s="35"/>
      <c r="R166" s="35"/>
    </row>
    <row r="167" spans="2:18" x14ac:dyDescent="0.45">
      <c r="B167" s="94" t="s">
        <v>106</v>
      </c>
      <c r="E167" s="95">
        <v>0.01</v>
      </c>
      <c r="F167" s="34">
        <f>F168+$E$167</f>
        <v>0.36099999999999999</v>
      </c>
      <c r="G167" s="34">
        <f>G168+$E$167</f>
        <v>0.37</v>
      </c>
      <c r="H167" s="34">
        <f>H168+$E$167</f>
        <v>0.38</v>
      </c>
      <c r="I167" s="34">
        <f>I168+$E$167</f>
        <v>0.38</v>
      </c>
      <c r="J167" s="34">
        <f>J168+$E$167</f>
        <v>0.38</v>
      </c>
    </row>
    <row r="168" spans="2:18" x14ac:dyDescent="0.45">
      <c r="B168" s="94" t="s">
        <v>10</v>
      </c>
      <c r="E168" s="96" t="s">
        <v>107</v>
      </c>
      <c r="F168" s="35">
        <v>0.35099999999999998</v>
      </c>
      <c r="G168" s="35">
        <v>0.36</v>
      </c>
      <c r="H168" s="35">
        <v>0.37</v>
      </c>
      <c r="I168" s="34">
        <f>H168</f>
        <v>0.37</v>
      </c>
      <c r="J168" s="34">
        <f>I168</f>
        <v>0.37</v>
      </c>
    </row>
    <row r="169" spans="2:18" x14ac:dyDescent="0.45">
      <c r="B169" s="94" t="s">
        <v>108</v>
      </c>
      <c r="E169" s="95">
        <v>-0.01</v>
      </c>
      <c r="F169" s="34">
        <f>F168+$E$169</f>
        <v>0.34099999999999997</v>
      </c>
      <c r="G169" s="34">
        <f>G168+$E$169</f>
        <v>0.35</v>
      </c>
      <c r="H169" s="34">
        <f>H168+$E$169</f>
        <v>0.36</v>
      </c>
      <c r="I169" s="34">
        <f>I168+$E$169</f>
        <v>0.36</v>
      </c>
      <c r="J169" s="34">
        <f>J168+$E$169</f>
        <v>0.36</v>
      </c>
    </row>
    <row r="170" spans="2:18" x14ac:dyDescent="0.45">
      <c r="B170" s="49" t="s">
        <v>35</v>
      </c>
      <c r="E170" s="96"/>
      <c r="F170" s="97"/>
      <c r="G170" s="97"/>
      <c r="H170" s="97"/>
      <c r="I170" s="97"/>
      <c r="J170" s="97"/>
    </row>
    <row r="171" spans="2:18" x14ac:dyDescent="0.45">
      <c r="B171" s="94" t="s">
        <v>106</v>
      </c>
      <c r="E171" s="95">
        <v>-0.01</v>
      </c>
      <c r="F171" s="34">
        <f>F172+$E$171</f>
        <v>0.13999999999999999</v>
      </c>
      <c r="G171" s="34">
        <f>G172+$E$171</f>
        <v>0.14499999999999999</v>
      </c>
      <c r="H171" s="34">
        <f>H172+$E$171</f>
        <v>0.14699999999999999</v>
      </c>
      <c r="I171" s="34">
        <f>I172+$E$171</f>
        <v>0.14699999999999999</v>
      </c>
      <c r="J171" s="34">
        <f>J172+$E$171</f>
        <v>0.14699999999999999</v>
      </c>
    </row>
    <row r="172" spans="2:18" x14ac:dyDescent="0.45">
      <c r="B172" s="94" t="s">
        <v>10</v>
      </c>
      <c r="E172" s="96" t="s">
        <v>107</v>
      </c>
      <c r="F172" s="35">
        <v>0.15</v>
      </c>
      <c r="G172" s="35">
        <v>0.155</v>
      </c>
      <c r="H172" s="35">
        <v>0.157</v>
      </c>
      <c r="I172" s="34">
        <f>H172</f>
        <v>0.157</v>
      </c>
      <c r="J172" s="34">
        <f>I172</f>
        <v>0.157</v>
      </c>
    </row>
    <row r="173" spans="2:18" x14ac:dyDescent="0.45">
      <c r="B173" s="94" t="s">
        <v>108</v>
      </c>
      <c r="E173" s="95">
        <v>0.01</v>
      </c>
      <c r="F173" s="34">
        <f>F172+$E$173</f>
        <v>0.16</v>
      </c>
      <c r="G173" s="34">
        <f>G172+$E$173</f>
        <v>0.16500000000000001</v>
      </c>
      <c r="H173" s="34">
        <f>H172+$E$173</f>
        <v>0.16700000000000001</v>
      </c>
      <c r="I173" s="34">
        <f>I172+$E$173</f>
        <v>0.16700000000000001</v>
      </c>
      <c r="J173" s="34">
        <f>J172+$E$173</f>
        <v>0.16700000000000001</v>
      </c>
    </row>
    <row r="174" spans="2:18" x14ac:dyDescent="0.45">
      <c r="B174" s="49" t="s">
        <v>36</v>
      </c>
      <c r="E174" s="96"/>
      <c r="F174" s="97"/>
      <c r="G174" s="97"/>
      <c r="H174" s="97"/>
      <c r="I174" s="97"/>
      <c r="J174" s="97"/>
    </row>
    <row r="175" spans="2:18" x14ac:dyDescent="0.45">
      <c r="B175" s="94" t="s">
        <v>106</v>
      </c>
      <c r="E175" s="95">
        <v>-0.01</v>
      </c>
      <c r="F175" s="34">
        <f>F176+$E$175</f>
        <v>6.59E-2</v>
      </c>
      <c r="G175" s="34">
        <f>G176+$E$175</f>
        <v>6.4700000000000008E-2</v>
      </c>
      <c r="H175" s="34">
        <f>H176+$E$175</f>
        <v>5.6000000000000001E-2</v>
      </c>
      <c r="I175" s="34">
        <f>I176+$E$175</f>
        <v>5.6000000000000001E-2</v>
      </c>
      <c r="J175" s="34">
        <f>J176+$E$175</f>
        <v>5.6000000000000001E-2</v>
      </c>
    </row>
    <row r="176" spans="2:18" x14ac:dyDescent="0.45">
      <c r="B176" s="94" t="s">
        <v>10</v>
      </c>
      <c r="E176" s="96" t="s">
        <v>107</v>
      </c>
      <c r="F176" s="35">
        <v>7.5899999999999995E-2</v>
      </c>
      <c r="G176" s="35">
        <v>7.4700000000000003E-2</v>
      </c>
      <c r="H176" s="35">
        <v>6.6000000000000003E-2</v>
      </c>
      <c r="I176" s="34">
        <f>H176</f>
        <v>6.6000000000000003E-2</v>
      </c>
      <c r="J176" s="34">
        <f>I176</f>
        <v>6.6000000000000003E-2</v>
      </c>
    </row>
    <row r="177" spans="2:10" ht="14.65" thickBot="1" x14ac:dyDescent="0.5">
      <c r="B177" s="94" t="s">
        <v>108</v>
      </c>
      <c r="E177" s="98">
        <v>0.01</v>
      </c>
      <c r="F177" s="34">
        <f>F176+$E$177</f>
        <v>8.589999999999999E-2</v>
      </c>
      <c r="G177" s="34">
        <f>G176+$E$177</f>
        <v>8.4699999999999998E-2</v>
      </c>
      <c r="H177" s="34">
        <f>H176+$E$177</f>
        <v>7.5999999999999998E-2</v>
      </c>
      <c r="I177" s="34">
        <f>I176+$E$177</f>
        <v>7.5999999999999998E-2</v>
      </c>
      <c r="J177" s="34">
        <f>J176+$E$177</f>
        <v>7.5999999999999998E-2</v>
      </c>
    </row>
    <row r="179" spans="2:10" x14ac:dyDescent="0.45">
      <c r="B179" s="13" t="s">
        <v>109</v>
      </c>
      <c r="C179" s="13"/>
      <c r="D179" s="13"/>
      <c r="E179" s="13"/>
      <c r="F179" s="13"/>
      <c r="G179" s="13"/>
      <c r="H179" s="13"/>
      <c r="I179" s="13"/>
      <c r="J179" s="13"/>
    </row>
    <row r="180" spans="2:10" x14ac:dyDescent="0.45">
      <c r="B180" s="37" t="str">
        <f t="shared" ref="B180:J180" si="31">B15</f>
        <v xml:space="preserve">Fiscal year  </v>
      </c>
      <c r="C180" s="38">
        <f t="shared" si="31"/>
        <v>2023</v>
      </c>
      <c r="D180" s="38">
        <f t="shared" si="31"/>
        <v>2024</v>
      </c>
      <c r="E180" s="38">
        <f t="shared" si="31"/>
        <v>2025</v>
      </c>
      <c r="F180" s="39">
        <f t="shared" si="31"/>
        <v>2026</v>
      </c>
      <c r="G180" s="39">
        <f t="shared" si="31"/>
        <v>2027</v>
      </c>
      <c r="H180" s="39">
        <f t="shared" si="31"/>
        <v>2028</v>
      </c>
      <c r="I180" s="39">
        <f t="shared" si="31"/>
        <v>2029</v>
      </c>
      <c r="J180" s="39">
        <f t="shared" si="31"/>
        <v>2030</v>
      </c>
    </row>
    <row r="181" spans="2:10" x14ac:dyDescent="0.45">
      <c r="B181" s="14" t="str">
        <f t="shared" ref="B181:J181" si="32">B16</f>
        <v>Fiscal year end date</v>
      </c>
      <c r="C181" s="40">
        <f t="shared" si="32"/>
        <v>45291</v>
      </c>
      <c r="D181" s="40">
        <f t="shared" si="32"/>
        <v>45657</v>
      </c>
      <c r="E181" s="40">
        <f t="shared" si="32"/>
        <v>46022</v>
      </c>
      <c r="F181" s="40">
        <f t="shared" si="32"/>
        <v>46387</v>
      </c>
      <c r="G181" s="40">
        <f t="shared" si="32"/>
        <v>46752</v>
      </c>
      <c r="H181" s="40">
        <f t="shared" si="32"/>
        <v>47118</v>
      </c>
      <c r="I181" s="40">
        <f t="shared" si="32"/>
        <v>47483</v>
      </c>
      <c r="J181" s="40">
        <f t="shared" si="32"/>
        <v>47848</v>
      </c>
    </row>
    <row r="182" spans="2:10" x14ac:dyDescent="0.45">
      <c r="F182" s="35"/>
      <c r="G182" s="35"/>
      <c r="H182" s="35"/>
      <c r="I182" s="34"/>
      <c r="J182" s="34"/>
    </row>
    <row r="183" spans="2:10" x14ac:dyDescent="0.45">
      <c r="B183" t="s">
        <v>27</v>
      </c>
      <c r="C183" s="99">
        <f t="shared" ref="C183:J183" si="33">C31</f>
        <v>30425</v>
      </c>
      <c r="D183" s="99">
        <f t="shared" si="33"/>
        <v>59248</v>
      </c>
      <c r="E183" s="99">
        <f t="shared" si="33"/>
        <v>77670</v>
      </c>
      <c r="F183" s="99">
        <f t="shared" ca="1" si="33"/>
        <v>94627.414881043718</v>
      </c>
      <c r="G183" s="99">
        <f t="shared" ca="1" si="33"/>
        <v>107280.37591648466</v>
      </c>
      <c r="H183" s="99">
        <f t="shared" ca="1" si="33"/>
        <v>133605.39681804227</v>
      </c>
      <c r="I183" s="99">
        <f t="shared" ca="1" si="33"/>
        <v>149620.22445835467</v>
      </c>
      <c r="J183" s="99">
        <f t="shared" ca="1" si="33"/>
        <v>167782.27622823761</v>
      </c>
    </row>
    <row r="184" spans="2:10" x14ac:dyDescent="0.45">
      <c r="B184" t="s">
        <v>110</v>
      </c>
      <c r="C184" s="100">
        <v>10304</v>
      </c>
      <c r="D184" s="100">
        <v>10473</v>
      </c>
      <c r="E184" s="100">
        <v>10656</v>
      </c>
      <c r="F184" s="99">
        <f ca="1">E184+(-F190+F191)/F192</f>
        <v>10760.09283</v>
      </c>
      <c r="G184" s="99">
        <f t="shared" ref="G184:J184" ca="1" si="34">F184+(-G190+G191)/G192</f>
        <v>10860.782277036522</v>
      </c>
      <c r="H184" s="99">
        <f t="shared" ca="1" si="34"/>
        <v>10959.449179528223</v>
      </c>
      <c r="I184" s="99">
        <f t="shared" ca="1" si="34"/>
        <v>11056.134164239438</v>
      </c>
      <c r="J184" s="99">
        <f t="shared" ca="1" si="34"/>
        <v>11150.877041866455</v>
      </c>
    </row>
    <row r="185" spans="2:10" x14ac:dyDescent="0.45">
      <c r="B185" s="12" t="s">
        <v>111</v>
      </c>
      <c r="C185" s="101">
        <f t="shared" ref="C185:J185" si="35">C183/C184</f>
        <v>2.9527368012422359</v>
      </c>
      <c r="D185" s="101">
        <f t="shared" si="35"/>
        <v>5.6572137878353859</v>
      </c>
      <c r="E185" s="101">
        <f t="shared" si="35"/>
        <v>7.2888513513513518</v>
      </c>
      <c r="F185" s="101">
        <f t="shared" ca="1" si="35"/>
        <v>8.7942935415217711</v>
      </c>
      <c r="G185" s="101">
        <f t="shared" ca="1" si="35"/>
        <v>9.8777761288257064</v>
      </c>
      <c r="H185" s="101">
        <f t="shared" ca="1" si="35"/>
        <v>12.190886113839678</v>
      </c>
      <c r="I185" s="101">
        <f t="shared" ca="1" si="35"/>
        <v>13.532779381630016</v>
      </c>
      <c r="J185" s="101">
        <f t="shared" ca="1" si="35"/>
        <v>15.046554239481946</v>
      </c>
    </row>
    <row r="186" spans="2:10" x14ac:dyDescent="0.45">
      <c r="C186" s="21"/>
      <c r="D186" s="21"/>
      <c r="E186" s="21"/>
      <c r="F186" s="28"/>
    </row>
    <row r="187" spans="2:10" x14ac:dyDescent="0.45">
      <c r="B187" t="s">
        <v>112</v>
      </c>
      <c r="C187" s="100">
        <v>10492</v>
      </c>
      <c r="D187" s="100">
        <v>10721</v>
      </c>
      <c r="E187" s="100">
        <v>10827</v>
      </c>
      <c r="F187" s="99">
        <f ca="1">F184+E187-E184</f>
        <v>10931.092830000001</v>
      </c>
      <c r="G187" s="99">
        <f t="shared" ref="G187:J187" ca="1" si="36">G184+F187-F184</f>
        <v>11031.782277036526</v>
      </c>
      <c r="H187" s="99">
        <f t="shared" ca="1" si="36"/>
        <v>11130.449179528225</v>
      </c>
      <c r="I187" s="99">
        <f t="shared" ca="1" si="36"/>
        <v>11227.13416423944</v>
      </c>
      <c r="J187" s="99">
        <f t="shared" ca="1" si="36"/>
        <v>11321.877041866459</v>
      </c>
    </row>
    <row r="188" spans="2:10" x14ac:dyDescent="0.45">
      <c r="B188" s="12" t="s">
        <v>113</v>
      </c>
      <c r="C188" s="101">
        <f>C183/C187</f>
        <v>2.8998284407167367</v>
      </c>
      <c r="D188" s="101">
        <f t="shared" ref="D188:J188" si="37">D183/D187</f>
        <v>5.5263501539035538</v>
      </c>
      <c r="E188" s="101">
        <f t="shared" si="37"/>
        <v>7.1737323358270988</v>
      </c>
      <c r="F188" s="101">
        <f t="shared" ca="1" si="37"/>
        <v>8.6567204535434996</v>
      </c>
      <c r="G188" s="101">
        <f t="shared" ca="1" si="37"/>
        <v>9.7246639955718432</v>
      </c>
      <c r="H188" s="101">
        <f t="shared" ca="1" si="37"/>
        <v>12.003594344042931</v>
      </c>
      <c r="I188" s="101">
        <f t="shared" ca="1" si="37"/>
        <v>13.326662197992038</v>
      </c>
      <c r="J188" s="101">
        <f t="shared" ca="1" si="37"/>
        <v>14.819298567526042</v>
      </c>
    </row>
    <row r="189" spans="2:10" x14ac:dyDescent="0.45">
      <c r="F189" s="102"/>
    </row>
    <row r="190" spans="2:10" x14ac:dyDescent="0.45">
      <c r="B190" t="s">
        <v>114</v>
      </c>
      <c r="F190" s="99">
        <f>-(F122)</f>
        <v>0</v>
      </c>
      <c r="G190" s="99">
        <f>-(G122)</f>
        <v>0</v>
      </c>
      <c r="H190" s="99">
        <f>-(H122)</f>
        <v>0</v>
      </c>
      <c r="I190" s="99">
        <f>-(I122)</f>
        <v>0</v>
      </c>
      <c r="J190" s="99">
        <f>-(J122)</f>
        <v>0</v>
      </c>
    </row>
    <row r="191" spans="2:10" x14ac:dyDescent="0.45">
      <c r="B191" t="s">
        <v>115</v>
      </c>
      <c r="F191" s="103">
        <f ca="1">F35</f>
        <v>21859.494299999998</v>
      </c>
      <c r="G191" s="103">
        <f ca="1">G35</f>
        <v>24316.501459319999</v>
      </c>
      <c r="H191" s="103">
        <f ca="1">H35</f>
        <v>27402.265494507708</v>
      </c>
      <c r="I191" s="103">
        <f ca="1">I35</f>
        <v>30879.612985760738</v>
      </c>
      <c r="J191" s="103">
        <f ca="1">J35</f>
        <v>34798.235873653779</v>
      </c>
    </row>
    <row r="192" spans="2:10" x14ac:dyDescent="0.45">
      <c r="B192" t="s">
        <v>116</v>
      </c>
      <c r="F192" s="104">
        <v>210</v>
      </c>
      <c r="G192" s="105">
        <f>F192*(1+G193)</f>
        <v>241.49999999999997</v>
      </c>
      <c r="H192" s="105">
        <f>G192*(1+H193)</f>
        <v>277.72499999999997</v>
      </c>
      <c r="I192" s="105">
        <f>H192*(1+I193)</f>
        <v>319.38374999999996</v>
      </c>
      <c r="J192" s="105">
        <f>I192*(1+J193)</f>
        <v>367.29131249999995</v>
      </c>
    </row>
    <row r="193" spans="2:12" x14ac:dyDescent="0.45">
      <c r="B193" t="s">
        <v>117</v>
      </c>
      <c r="G193" s="106">
        <v>0.15</v>
      </c>
      <c r="H193" s="106">
        <v>0.15</v>
      </c>
      <c r="I193" s="106">
        <v>0.15</v>
      </c>
      <c r="J193" s="106">
        <v>0.15</v>
      </c>
    </row>
    <row r="194" spans="2:12" ht="14.65" thickBot="1" x14ac:dyDescent="0.5">
      <c r="B194" s="107" t="s">
        <v>118</v>
      </c>
      <c r="C194" s="77"/>
      <c r="D194" s="77"/>
      <c r="E194" s="77"/>
      <c r="F194" s="77"/>
      <c r="G194" s="77"/>
      <c r="H194" s="77"/>
      <c r="I194" s="77"/>
      <c r="J194" s="77"/>
    </row>
    <row r="195" spans="2:12" x14ac:dyDescent="0.45">
      <c r="B195" s="12" t="s">
        <v>119</v>
      </c>
      <c r="C195" s="12"/>
      <c r="D195" s="12"/>
      <c r="E195" s="82" t="s">
        <v>120</v>
      </c>
      <c r="F195" s="108">
        <f>C11</f>
        <v>10734.92087</v>
      </c>
      <c r="G195" s="109">
        <f ca="1">F197</f>
        <v>10839.0137</v>
      </c>
      <c r="H195" s="109">
        <f t="shared" ref="H195:J195" ca="1" si="38">G197</f>
        <v>10939.703147036522</v>
      </c>
      <c r="I195" s="109">
        <f t="shared" ca="1" si="38"/>
        <v>11038.370049528223</v>
      </c>
      <c r="J195" s="109">
        <f t="shared" ca="1" si="38"/>
        <v>11135.055034239438</v>
      </c>
    </row>
    <row r="196" spans="2:12" x14ac:dyDescent="0.45">
      <c r="B196" t="s">
        <v>121</v>
      </c>
      <c r="F196" s="99">
        <f ca="1">(-F190+F191)/F192</f>
        <v>104.09282999999999</v>
      </c>
      <c r="G196" s="99">
        <f t="shared" ref="G196:J196" ca="1" si="39">(-G190+G191)/G192</f>
        <v>100.68944703652174</v>
      </c>
      <c r="H196" s="99">
        <f t="shared" ca="1" si="39"/>
        <v>98.66690249170118</v>
      </c>
      <c r="I196" s="99">
        <f t="shared" ca="1" si="39"/>
        <v>96.684984711215705</v>
      </c>
      <c r="J196" s="99">
        <f t="shared" ca="1" si="39"/>
        <v>94.742877627016526</v>
      </c>
    </row>
    <row r="197" spans="2:12" x14ac:dyDescent="0.45">
      <c r="B197" t="s">
        <v>122</v>
      </c>
      <c r="F197" s="99">
        <f ca="1">SUM(F195:F196)</f>
        <v>10839.0137</v>
      </c>
      <c r="G197" s="99">
        <f t="shared" ref="G197:J197" ca="1" si="40">SUM(G195:G196)</f>
        <v>10939.703147036522</v>
      </c>
      <c r="H197" s="99">
        <f t="shared" ca="1" si="40"/>
        <v>11038.370049528223</v>
      </c>
      <c r="I197" s="99">
        <f t="shared" ca="1" si="40"/>
        <v>11135.055034239438</v>
      </c>
      <c r="J197" s="99">
        <f t="shared" ca="1" si="40"/>
        <v>11229.797911866455</v>
      </c>
    </row>
    <row r="198" spans="2:12" x14ac:dyDescent="0.45">
      <c r="B198" s="12" t="s">
        <v>123</v>
      </c>
      <c r="C198" s="12"/>
      <c r="D198" s="12"/>
      <c r="E198" s="12"/>
      <c r="F198" s="109">
        <f ca="1">AVERAGE(F197,F195)</f>
        <v>10786.967284999999</v>
      </c>
      <c r="G198" s="109">
        <f t="shared" ref="G198:J198" ca="1" si="41">AVERAGE(G197,G195)</f>
        <v>10889.358423518261</v>
      </c>
      <c r="H198" s="109">
        <f t="shared" ca="1" si="41"/>
        <v>10989.036598282371</v>
      </c>
      <c r="I198" s="109">
        <f t="shared" ca="1" si="41"/>
        <v>11086.71254188383</v>
      </c>
      <c r="J198" s="109">
        <f t="shared" ca="1" si="41"/>
        <v>11182.426473052947</v>
      </c>
    </row>
    <row r="199" spans="2:12" ht="14.65" thickBot="1" x14ac:dyDescent="0.5">
      <c r="B199" s="107" t="s">
        <v>124</v>
      </c>
      <c r="C199" s="77"/>
      <c r="D199" s="77"/>
      <c r="E199" s="77"/>
      <c r="F199" s="77"/>
      <c r="G199" s="77"/>
      <c r="H199" s="77"/>
      <c r="I199" s="77"/>
      <c r="J199" s="77"/>
      <c r="L199" s="33"/>
    </row>
    <row r="200" spans="2:12" x14ac:dyDescent="0.45">
      <c r="B200" s="12" t="s">
        <v>27</v>
      </c>
      <c r="C200" s="109">
        <f t="shared" ref="C200:J200" si="42">C31</f>
        <v>30425</v>
      </c>
      <c r="D200" s="109">
        <f t="shared" si="42"/>
        <v>59248</v>
      </c>
      <c r="E200" s="109">
        <f t="shared" si="42"/>
        <v>77670</v>
      </c>
      <c r="F200" s="109">
        <f t="shared" ca="1" si="42"/>
        <v>94627.414881043718</v>
      </c>
      <c r="G200" s="109">
        <f t="shared" ca="1" si="42"/>
        <v>107280.37591648466</v>
      </c>
      <c r="H200" s="109">
        <f t="shared" ca="1" si="42"/>
        <v>133605.39681804227</v>
      </c>
      <c r="I200" s="109">
        <f t="shared" ca="1" si="42"/>
        <v>149620.22445835467</v>
      </c>
      <c r="J200" s="109">
        <f t="shared" ca="1" si="42"/>
        <v>167782.27622823761</v>
      </c>
    </row>
    <row r="201" spans="2:12" x14ac:dyDescent="0.45">
      <c r="B201" s="29" t="s">
        <v>125</v>
      </c>
      <c r="D201" s="110">
        <f>D200/C200-1</f>
        <v>0.9473459326211997</v>
      </c>
      <c r="E201" s="111">
        <f t="shared" ref="E201:J201" si="43">E200/D200-1</f>
        <v>0.31093032676208487</v>
      </c>
      <c r="F201" s="111">
        <f t="shared" ca="1" si="43"/>
        <v>0.21832644368538334</v>
      </c>
      <c r="G201" s="111">
        <f t="shared" ca="1" si="43"/>
        <v>0.13371348093305735</v>
      </c>
      <c r="H201" s="111">
        <f t="shared" ca="1" si="43"/>
        <v>0.24538524102535808</v>
      </c>
      <c r="I201" s="111">
        <f t="shared" ca="1" si="43"/>
        <v>0.11986662232007794</v>
      </c>
      <c r="J201" s="111">
        <f t="shared" ca="1" si="43"/>
        <v>0.1213876789426831</v>
      </c>
    </row>
    <row r="204" spans="2:12" x14ac:dyDescent="0.45">
      <c r="F204" s="102"/>
    </row>
  </sheetData>
  <conditionalFormatting sqref="B42">
    <cfRule type="expression" dxfId="2" priority="3">
      <formula>#REF!=$B42</formula>
    </cfRule>
  </conditionalFormatting>
  <conditionalFormatting sqref="B160">
    <cfRule type="expression" dxfId="1" priority="1">
      <formula>#REF!=$B160</formula>
    </cfRule>
  </conditionalFormatting>
  <conditionalFormatting sqref="B174">
    <cfRule type="expression" dxfId="0" priority="2">
      <formula>#REF!=$B174</formula>
    </cfRule>
  </conditionalFormatting>
  <dataValidations count="3">
    <dataValidation type="list" allowBlank="1" showInputMessage="1" showErrorMessage="1" sqref="B3" xr:uid="{872952F3-3B38-48BE-9A44-9209D5D82FE3}">
      <formula1>"$ bns except per share, $ mm except per share,$ in thousands except per share"</formula1>
    </dataValidation>
    <dataValidation type="list" allowBlank="1" showInputMessage="1" showErrorMessage="1" sqref="C12" xr:uid="{35C7CF29-430E-4053-867D-3B7234993880}">
      <formula1>$B$163:$B$165</formula1>
    </dataValidation>
    <dataValidation type="list" allowBlank="1" showInputMessage="1" showErrorMessage="1" sqref="C7" xr:uid="{3FBF02E9-EEA0-4C5F-82AA-BBBFE15012BB}">
      <formula1>"0,1"</formula1>
    </dataValidation>
  </dataValidations>
  <pageMargins left="0.7" right="0.7" top="0.75" bottom="0.75" header="0.3" footer="0.3"/>
  <pageSetup orientation="portrait" r:id="rId1"/>
  <ignoredErrors>
    <ignoredError sqref="F66:J66" formula="1"/>
    <ignoredError sqref="F79:F80" formulaRange="1"/>
  </ignoredErrors>
  <legacyDrawing r:id="rId2"/>
</worksheet>
</file>

<file path=docMetadata/LabelInfo.xml><?xml version="1.0" encoding="utf-8"?>
<clbl:labelList xmlns:clbl="http://schemas.microsoft.com/office/2020/mipLabelMetadata">
  <clbl:label id="{5567eafd-e777-42a5-91bb-9440fd43b893}" enabled="0" method="" siteId="{5567eafd-e777-42a5-91bb-9440fd43b89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3SFM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Sapkota2,S (pgt)</dc:creator>
  <cp:lastModifiedBy>Sapkota2,S (pgt)</cp:lastModifiedBy>
  <dcterms:created xsi:type="dcterms:W3CDTF">2026-02-08T20:18:53Z</dcterms:created>
  <dcterms:modified xsi:type="dcterms:W3CDTF">2026-02-16T18:54:44Z</dcterms:modified>
</cp:coreProperties>
</file>